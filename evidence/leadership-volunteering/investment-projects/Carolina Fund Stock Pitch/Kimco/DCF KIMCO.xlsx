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B&amp;G\Carolina Fund Stock Pitch\Kimco\"/>
    </mc:Choice>
  </mc:AlternateContent>
  <xr:revisionPtr revIDLastSave="0" documentId="8_{7705E655-6DB6-42DF-9A81-F0FBAB667D2D}" xr6:coauthVersionLast="47" xr6:coauthVersionMax="47" xr10:uidLastSave="{00000000-0000-0000-0000-000000000000}"/>
  <bookViews>
    <workbookView xWindow="-108" yWindow="-108" windowWidth="23256" windowHeight="12456" xr2:uid="{B7119915-8B8F-47B8-9DFC-846DF790858D}"/>
  </bookViews>
  <sheets>
    <sheet name="DCF Real" sheetId="1" r:id="rId1"/>
  </sheets>
  <externalReferences>
    <externalReference r:id="rId2"/>
  </externalReference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36" i="1" s="1"/>
  <c r="C55" i="1"/>
  <c r="B49" i="1"/>
  <c r="A49" i="1"/>
  <c r="J30" i="1"/>
  <c r="K30" i="1" s="1"/>
  <c r="L30" i="1" s="1"/>
  <c r="I30" i="1"/>
  <c r="G29" i="1"/>
  <c r="F29" i="1"/>
  <c r="G28" i="1"/>
  <c r="F28" i="1"/>
  <c r="E28" i="1"/>
  <c r="E29" i="1" s="1"/>
  <c r="D28" i="1"/>
  <c r="D29" i="1" s="1"/>
  <c r="C28" i="1"/>
  <c r="C29" i="1" s="1"/>
  <c r="G26" i="1"/>
  <c r="G27" i="1" s="1"/>
  <c r="F26" i="1"/>
  <c r="F27" i="1" s="1"/>
  <c r="E26" i="1"/>
  <c r="E27" i="1" s="1"/>
  <c r="D26" i="1"/>
  <c r="D27" i="1" s="1"/>
  <c r="C26" i="1"/>
  <c r="C27" i="1" s="1"/>
  <c r="G25" i="1"/>
  <c r="F25" i="1"/>
  <c r="E25" i="1"/>
  <c r="D25" i="1"/>
  <c r="L25" i="1" s="1"/>
  <c r="C25" i="1"/>
  <c r="B25" i="1"/>
  <c r="K25" i="1" s="1"/>
  <c r="G22" i="1"/>
  <c r="F22" i="1"/>
  <c r="E22" i="1"/>
  <c r="D22" i="1"/>
  <c r="B22" i="1"/>
  <c r="C21" i="1"/>
  <c r="G19" i="1"/>
  <c r="F19" i="1"/>
  <c r="E19" i="1"/>
  <c r="D19" i="1"/>
  <c r="C19" i="1"/>
  <c r="B19" i="1"/>
  <c r="D17" i="1"/>
  <c r="C17" i="1"/>
  <c r="B17" i="1"/>
  <c r="G16" i="1"/>
  <c r="G17" i="1" s="1"/>
  <c r="F16" i="1"/>
  <c r="F17" i="1" s="1"/>
  <c r="E16" i="1"/>
  <c r="E17" i="1" s="1"/>
  <c r="D16" i="1"/>
  <c r="C16" i="1"/>
  <c r="B16" i="1"/>
  <c r="I15" i="1"/>
  <c r="H15" i="1"/>
  <c r="G15" i="1"/>
  <c r="F15" i="1"/>
  <c r="E15" i="1"/>
  <c r="D15" i="1"/>
  <c r="C15" i="1"/>
  <c r="K15" i="1" s="1"/>
  <c r="B15" i="1"/>
  <c r="J15" i="1" s="1"/>
  <c r="R12" i="1"/>
  <c r="I10" i="1"/>
  <c r="G10" i="1"/>
  <c r="F10" i="1"/>
  <c r="E10" i="1"/>
  <c r="D10" i="1"/>
  <c r="C10" i="1"/>
  <c r="B10" i="1"/>
  <c r="K10" i="1" s="1"/>
  <c r="I8" i="1"/>
  <c r="G8" i="1"/>
  <c r="F8" i="1"/>
  <c r="E8" i="1"/>
  <c r="D8" i="1"/>
  <c r="C8" i="1"/>
  <c r="B8" i="1"/>
  <c r="K8" i="1" s="1"/>
  <c r="J6" i="1"/>
  <c r="I6" i="1"/>
  <c r="G6" i="1"/>
  <c r="F6" i="1"/>
  <c r="E6" i="1"/>
  <c r="D6" i="1"/>
  <c r="L6" i="1" s="1"/>
  <c r="C6" i="1"/>
  <c r="K6" i="1" s="1"/>
  <c r="L17" i="1" l="1"/>
  <c r="L29" i="1"/>
  <c r="K29" i="1"/>
  <c r="J29" i="1"/>
  <c r="I29" i="1"/>
  <c r="H29" i="1"/>
  <c r="H27" i="1"/>
  <c r="H26" i="1" s="1"/>
  <c r="I25" i="1"/>
  <c r="J17" i="1"/>
  <c r="L8" i="1"/>
  <c r="L10" i="1"/>
  <c r="L15" i="1"/>
  <c r="H17" i="1"/>
  <c r="J25" i="1"/>
  <c r="H25" i="1"/>
  <c r="H24" i="1" s="1"/>
  <c r="H6" i="1"/>
  <c r="H5" i="1" s="1"/>
  <c r="H11" i="1" s="1"/>
  <c r="H8" i="1"/>
  <c r="H7" i="1" s="1"/>
  <c r="H10" i="1"/>
  <c r="H9" i="1" s="1"/>
  <c r="I17" i="1"/>
  <c r="C22" i="1"/>
  <c r="H21" i="1"/>
  <c r="J8" i="1"/>
  <c r="J10" i="1"/>
  <c r="K17" i="1"/>
  <c r="I27" i="1" l="1"/>
  <c r="I26" i="1" s="1"/>
  <c r="I21" i="1"/>
  <c r="J21" i="1" s="1"/>
  <c r="H16" i="1"/>
  <c r="H18" i="1" s="1"/>
  <c r="I5" i="1"/>
  <c r="I16" i="1"/>
  <c r="H28" i="1"/>
  <c r="I28" i="1"/>
  <c r="H19" i="1" l="1"/>
  <c r="H20" i="1"/>
  <c r="H22" i="1" s="1"/>
  <c r="H31" i="1" s="1"/>
  <c r="H33" i="1" s="1"/>
  <c r="K21" i="1"/>
  <c r="L21" i="1" s="1"/>
  <c r="J5" i="1"/>
  <c r="I11" i="1"/>
  <c r="I9" i="1"/>
  <c r="I7" i="1"/>
  <c r="J27" i="1"/>
  <c r="J26" i="1" s="1"/>
  <c r="I24" i="1"/>
  <c r="K5" i="1" l="1"/>
  <c r="J11" i="1"/>
  <c r="J9" i="1"/>
  <c r="J28" i="1"/>
  <c r="J7" i="1"/>
  <c r="J24" i="1"/>
  <c r="J16" i="1"/>
  <c r="L27" i="1"/>
  <c r="K27" i="1"/>
  <c r="K26" i="1" s="1"/>
  <c r="I18" i="1"/>
  <c r="I19" i="1" l="1"/>
  <c r="I20" i="1"/>
  <c r="I22" i="1" s="1"/>
  <c r="I31" i="1" s="1"/>
  <c r="I33" i="1" s="1"/>
  <c r="J18" i="1"/>
  <c r="L5" i="1"/>
  <c r="K24" i="1"/>
  <c r="K9" i="1"/>
  <c r="K11" i="1"/>
  <c r="K7" i="1"/>
  <c r="K16" i="1"/>
  <c r="K28" i="1"/>
  <c r="L24" i="1" l="1"/>
  <c r="L11" i="1"/>
  <c r="L28" i="1"/>
  <c r="L7" i="1"/>
  <c r="L18" i="1" s="1"/>
  <c r="L19" i="1" s="1"/>
  <c r="L9" i="1"/>
  <c r="L16" i="1"/>
  <c r="J19" i="1"/>
  <c r="J20" i="1"/>
  <c r="J22" i="1" s="1"/>
  <c r="J31" i="1" s="1"/>
  <c r="J33" i="1" s="1"/>
  <c r="L26" i="1"/>
  <c r="K18" i="1"/>
  <c r="K19" i="1" l="1"/>
  <c r="K20" i="1"/>
  <c r="K22" i="1" s="1"/>
  <c r="K31" i="1" s="1"/>
  <c r="K33" i="1" s="1"/>
  <c r="L20" i="1"/>
  <c r="L22" i="1" l="1"/>
  <c r="L31" i="1" s="1"/>
  <c r="L33" i="1" s="1"/>
  <c r="B38" i="1" s="1"/>
  <c r="B39" i="1" s="1"/>
  <c r="B42" i="1" s="1"/>
  <c r="B45" i="1"/>
  <c r="B47" i="1" s="1"/>
  <c r="B48" i="1" s="1"/>
  <c r="B51" i="1" s="1"/>
</calcChain>
</file>

<file path=xl/sharedStrings.xml><?xml version="1.0" encoding="utf-8"?>
<sst xmlns="http://schemas.openxmlformats.org/spreadsheetml/2006/main" count="74" uniqueCount="47">
  <si>
    <t>Discounted Cash Flow Model</t>
  </si>
  <si>
    <t>Historical Period</t>
  </si>
  <si>
    <t>Projection Period</t>
  </si>
  <si>
    <t>as of 4/1/24</t>
  </si>
  <si>
    <t>USD in Millions</t>
  </si>
  <si>
    <t>2024E</t>
  </si>
  <si>
    <t>2025E</t>
  </si>
  <si>
    <t>2026E</t>
  </si>
  <si>
    <t>2027E</t>
  </si>
  <si>
    <t>2028E</t>
  </si>
  <si>
    <t>Total Revenue</t>
  </si>
  <si>
    <t>% Growth</t>
  </si>
  <si>
    <t>Property Exp.</t>
  </si>
  <si>
    <t>% Margin</t>
  </si>
  <si>
    <t>SG&amp;A</t>
  </si>
  <si>
    <t>D&amp;A</t>
  </si>
  <si>
    <t>Amort. of Goodwill and Intangibles</t>
  </si>
  <si>
    <t>-</t>
  </si>
  <si>
    <t>WACC</t>
  </si>
  <si>
    <t>Provision for Bad Debts</t>
  </si>
  <si>
    <t>Other Operating Exp. Pre</t>
  </si>
  <si>
    <t>Other Operating Exp.</t>
  </si>
  <si>
    <t>Total Operating Exp.</t>
  </si>
  <si>
    <t>EBIT</t>
  </si>
  <si>
    <t>Tax Rate (%)</t>
  </si>
  <si>
    <t>Tax Adjusted EBIT</t>
  </si>
  <si>
    <t>Plus: D&amp;A</t>
  </si>
  <si>
    <t>Less: Capital Expenditures</t>
  </si>
  <si>
    <t>LESS ▲ NWC</t>
  </si>
  <si>
    <t>Unlevered Free Cash Flow</t>
  </si>
  <si>
    <t>Present Value of Free Cash Flow</t>
  </si>
  <si>
    <t>Pepetuity Growth Method</t>
  </si>
  <si>
    <t>Perpetuity Growth Rate</t>
  </si>
  <si>
    <t>Disocunted Terminal Value</t>
  </si>
  <si>
    <t>Enterprise Value</t>
  </si>
  <si>
    <t>Net Debt</t>
  </si>
  <si>
    <t>Shares Outstanding</t>
  </si>
  <si>
    <t>Implied Share Price</t>
  </si>
  <si>
    <t>Exit Multiple</t>
  </si>
  <si>
    <t>EBIT (2028E)</t>
  </si>
  <si>
    <t>Exit Multiple EV</t>
  </si>
  <si>
    <t>Discounted EV</t>
  </si>
  <si>
    <t>Cost of Equity</t>
  </si>
  <si>
    <t>Cost of Debt</t>
  </si>
  <si>
    <t>Weight of Equity</t>
  </si>
  <si>
    <t>Weight of Debt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</si>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</sst>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.00%_);\(#,##0.00%\);&quot;–&quot;_);@_)"/>
    <numFmt numFmtId="166" formatCode="#,##0.0%_);\(#,##0.0%\);&quot;–&quot;_);@_)"/>
    <numFmt numFmtId="167" formatCode="_(* #,##0.0_);_(* \(#,##0.0\)_)\ ;_(* 0_)"/>
    <numFmt numFmtId="168" formatCode="_(* #,##0_);_(* \(#,##0\)_)\ ;_(* 0_)"/>
    <numFmt numFmtId="169" formatCode="0.00\x"/>
  </numFmts>
  <fonts count="18" x14ac:knownFonts="1">
    <font>
      <sz val="1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sz val="8"/>
      <name val="Arial"/>
      <family val="2"/>
    </font>
    <font>
      <b/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i/>
      <sz val="9"/>
      <color rgb="FF000000"/>
      <name val="Verdana"/>
      <family val="2"/>
    </font>
    <font>
      <sz val="9"/>
      <color rgb="FF000000"/>
      <name val="Verdana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9"/>
      <color indexed="8"/>
      <name val="Verdana"/>
      <family val="2"/>
    </font>
    <font>
      <sz val="9"/>
      <name val="Verdana"/>
      <family val="2"/>
    </font>
    <font>
      <sz val="8"/>
      <color theme="0"/>
      <name val="Arial"/>
      <family val="2"/>
    </font>
    <font>
      <sz val="9"/>
      <color rgb="FF000000"/>
      <name val="Courier New"/>
      <family val="3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C9E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right" wrapText="1"/>
    </xf>
    <xf numFmtId="0" fontId="6" fillId="0" borderId="0" xfId="0" applyFont="1" applyAlignment="1">
      <alignment horizontal="left" vertical="top"/>
    </xf>
    <xf numFmtId="164" fontId="7" fillId="0" borderId="0" xfId="1" applyNumberFormat="1" applyFont="1" applyFill="1" applyBorder="1" applyAlignment="1">
      <alignment horizontal="right" vertical="center" wrapText="1"/>
    </xf>
    <xf numFmtId="165" fontId="8" fillId="0" borderId="0" xfId="0" applyNumberFormat="1" applyFont="1" applyAlignment="1">
      <alignment horizontal="left" vertical="center" indent="1"/>
    </xf>
    <xf numFmtId="165" fontId="9" fillId="4" borderId="0" xfId="0" applyNumberFormat="1" applyFont="1" applyFill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2" fillId="0" borderId="0" xfId="0" applyFont="1"/>
    <xf numFmtId="0" fontId="10" fillId="0" borderId="0" xfId="0" applyFont="1" applyAlignment="1">
      <alignment horizontal="left" vertical="top"/>
    </xf>
    <xf numFmtId="1" fontId="10" fillId="0" borderId="0" xfId="0" applyNumberFormat="1" applyFont="1" applyAlignment="1">
      <alignment horizontal="right" vertical="top" wrapText="1"/>
    </xf>
    <xf numFmtId="0" fontId="1" fillId="0" borderId="0" xfId="0" applyFont="1"/>
    <xf numFmtId="10" fontId="1" fillId="0" borderId="0" xfId="0" applyNumberFormat="1" applyFont="1"/>
    <xf numFmtId="166" fontId="8" fillId="0" borderId="0" xfId="0" applyNumberFormat="1" applyFont="1" applyAlignment="1">
      <alignment horizontal="left" vertical="center" indent="1"/>
    </xf>
    <xf numFmtId="1" fontId="10" fillId="0" borderId="0" xfId="2" applyNumberFormat="1" applyFont="1" applyAlignment="1">
      <alignment horizontal="right" vertical="top" wrapText="1"/>
    </xf>
    <xf numFmtId="1" fontId="3" fillId="0" borderId="0" xfId="0" applyNumberFormat="1" applyFont="1" applyAlignment="1">
      <alignment horizontal="right"/>
    </xf>
    <xf numFmtId="0" fontId="11" fillId="2" borderId="0" xfId="0" applyFont="1" applyFill="1"/>
    <xf numFmtId="0" fontId="3" fillId="2" borderId="0" xfId="0" applyFont="1" applyFill="1"/>
    <xf numFmtId="10" fontId="1" fillId="2" borderId="0" xfId="0" applyNumberFormat="1" applyFont="1" applyFill="1"/>
    <xf numFmtId="164" fontId="10" fillId="0" borderId="0" xfId="2" applyNumberFormat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/>
    </xf>
    <xf numFmtId="1" fontId="10" fillId="0" borderId="2" xfId="0" applyNumberFormat="1" applyFont="1" applyBorder="1" applyAlignment="1">
      <alignment horizontal="right" vertical="top" wrapText="1"/>
    </xf>
    <xf numFmtId="165" fontId="13" fillId="0" borderId="0" xfId="2" applyNumberFormat="1" applyFont="1" applyAlignment="1">
      <alignment horizontal="right" vertical="top"/>
    </xf>
    <xf numFmtId="9" fontId="6" fillId="0" borderId="1" xfId="2" applyFont="1" applyBorder="1" applyAlignment="1">
      <alignment horizontal="left" vertical="top"/>
    </xf>
    <xf numFmtId="1" fontId="10" fillId="0" borderId="1" xfId="0" applyNumberFormat="1" applyFont="1" applyBorder="1" applyAlignment="1">
      <alignment horizontal="right" vertical="top" wrapText="1"/>
    </xf>
    <xf numFmtId="165" fontId="13" fillId="0" borderId="0" xfId="0" applyNumberFormat="1" applyFont="1" applyAlignment="1">
      <alignment horizontal="right" vertical="top" wrapText="1"/>
    </xf>
    <xf numFmtId="165" fontId="14" fillId="0" borderId="0" xfId="0" applyNumberFormat="1" applyFont="1" applyAlignment="1">
      <alignment horizontal="right"/>
    </xf>
    <xf numFmtId="9" fontId="12" fillId="0" borderId="1" xfId="2" applyFont="1" applyBorder="1" applyAlignment="1">
      <alignment horizontal="left" vertical="top"/>
    </xf>
    <xf numFmtId="164" fontId="3" fillId="0" borderId="0" xfId="0" applyNumberFormat="1" applyFont="1" applyAlignment="1">
      <alignment horizontal="right"/>
    </xf>
    <xf numFmtId="164" fontId="9" fillId="4" borderId="0" xfId="0" applyNumberFormat="1" applyFont="1" applyFill="1" applyAlignment="1">
      <alignment horizontal="right" vertical="center"/>
    </xf>
    <xf numFmtId="0" fontId="15" fillId="0" borderId="0" xfId="0" applyFont="1"/>
    <xf numFmtId="0" fontId="6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right" vertical="top" wrapText="1"/>
    </xf>
    <xf numFmtId="10" fontId="10" fillId="0" borderId="0" xfId="2" applyNumberFormat="1" applyFont="1" applyBorder="1" applyAlignment="1">
      <alignment horizontal="right" vertical="top" wrapText="1"/>
    </xf>
    <xf numFmtId="0" fontId="10" fillId="5" borderId="0" xfId="0" applyFont="1" applyFill="1" applyAlignment="1">
      <alignment horizontal="left" vertical="top"/>
    </xf>
    <xf numFmtId="0" fontId="3" fillId="5" borderId="0" xfId="0" applyFont="1" applyFill="1"/>
    <xf numFmtId="164" fontId="7" fillId="5" borderId="0" xfId="1" applyNumberFormat="1" applyFont="1" applyFill="1" applyBorder="1" applyAlignment="1">
      <alignment horizontal="right" vertical="center" wrapText="1"/>
    </xf>
    <xf numFmtId="0" fontId="11" fillId="0" borderId="0" xfId="0" applyFont="1"/>
    <xf numFmtId="10" fontId="0" fillId="0" borderId="0" xfId="0" applyNumberFormat="1"/>
    <xf numFmtId="164" fontId="0" fillId="0" borderId="0" xfId="0" applyNumberFormat="1"/>
    <xf numFmtId="167" fontId="0" fillId="0" borderId="0" xfId="0" applyNumberFormat="1"/>
    <xf numFmtId="3" fontId="0" fillId="0" borderId="0" xfId="0" applyNumberFormat="1"/>
    <xf numFmtId="0" fontId="11" fillId="5" borderId="0" xfId="0" applyFont="1" applyFill="1"/>
    <xf numFmtId="44" fontId="0" fillId="5" borderId="0" xfId="1" applyFont="1" applyFill="1"/>
    <xf numFmtId="0" fontId="16" fillId="0" borderId="0" xfId="0" applyFont="1" applyAlignment="1">
      <alignment horizontal="left" vertical="center"/>
    </xf>
    <xf numFmtId="168" fontId="0" fillId="0" borderId="0" xfId="0" applyNumberFormat="1"/>
    <xf numFmtId="10" fontId="16" fillId="0" borderId="0" xfId="0" applyNumberFormat="1" applyFont="1" applyAlignment="1">
      <alignment horizontal="left" vertical="center"/>
    </xf>
    <xf numFmtId="169" fontId="0" fillId="0" borderId="0" xfId="0" applyNumberFormat="1"/>
    <xf numFmtId="10" fontId="0" fillId="5" borderId="0" xfId="0" applyNumberFormat="1" applyFill="1"/>
    <xf numFmtId="0" fontId="17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ailsc-my.sharepoint.com/personal/leog_email_sc_edu/Documents/Kimco%20Realty%20Corporation%20NYSE%20KIM%20Financials%20(version%201).xlsx" TargetMode="External"/><Relationship Id="rId1" Type="http://schemas.openxmlformats.org/officeDocument/2006/relationships/externalLinkPath" Target="https://emailsc-my.sharepoint.com/personal/leog_email_sc_edu/Documents/Kimco%20Realty%20Corporation%20NYSE%20KIM%20Financials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otball Field Chart"/>
      <sheetName val="Key Stats"/>
      <sheetName val="DCF"/>
      <sheetName val="DCF Real"/>
      <sheetName val="Sheet1"/>
      <sheetName val="Income Statement"/>
      <sheetName val="Balance Sheet"/>
      <sheetName val="Cash Flow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</sheetNames>
    <sheetDataSet>
      <sheetData sheetId="0"/>
      <sheetData sheetId="1"/>
      <sheetData sheetId="2"/>
      <sheetData sheetId="3"/>
      <sheetData sheetId="4"/>
      <sheetData sheetId="5"/>
      <sheetData sheetId="6">
        <row r="20">
          <cell r="B20">
            <v>9273.5990000000002</v>
          </cell>
          <cell r="C20">
            <v>9368.4609999999993</v>
          </cell>
          <cell r="D20">
            <v>9331.2780000000002</v>
          </cell>
          <cell r="E20">
            <v>14729.035</v>
          </cell>
          <cell r="F20">
            <v>14813.276</v>
          </cell>
          <cell r="G20">
            <v>14954.502</v>
          </cell>
        </row>
        <row r="26">
          <cell r="C26">
            <v>218.68899999999999</v>
          </cell>
          <cell r="D26">
            <v>214.36799999999999</v>
          </cell>
          <cell r="E26">
            <v>238.952</v>
          </cell>
          <cell r="F26">
            <v>281.44400000000002</v>
          </cell>
          <cell r="G26">
            <v>298.10899999999998</v>
          </cell>
        </row>
        <row r="27">
          <cell r="C27" t="str">
            <v>-</v>
          </cell>
          <cell r="D27">
            <v>4.88</v>
          </cell>
          <cell r="E27">
            <v>15.725</v>
          </cell>
          <cell r="F27">
            <v>22.782</v>
          </cell>
          <cell r="G27">
            <v>9.5079999999999991</v>
          </cell>
        </row>
        <row r="28">
          <cell r="C28">
            <v>343.95299999999997</v>
          </cell>
          <cell r="D28">
            <v>824.09400000000005</v>
          </cell>
          <cell r="E28">
            <v>1333.7539999999999</v>
          </cell>
          <cell r="F28">
            <v>705.31299999999999</v>
          </cell>
          <cell r="G28">
            <v>474.14600000000002</v>
          </cell>
        </row>
        <row r="29">
          <cell r="C29" t="str">
            <v>-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</row>
        <row r="30">
          <cell r="C30">
            <v>145.464</v>
          </cell>
          <cell r="D30">
            <v>118.952</v>
          </cell>
          <cell r="E30">
            <v>456.39499999999998</v>
          </cell>
          <cell r="F30">
            <v>356.685</v>
          </cell>
          <cell r="G30">
            <v>301.75900000000001</v>
          </cell>
        </row>
        <row r="31">
          <cell r="C31">
            <v>7.8289999999999997</v>
          </cell>
          <cell r="D31">
            <v>32.246000000000002</v>
          </cell>
          <cell r="E31">
            <v>73.102000000000004</v>
          </cell>
          <cell r="F31">
            <v>87.358999999999995</v>
          </cell>
          <cell r="G31">
            <v>130.745</v>
          </cell>
        </row>
        <row r="32">
          <cell r="C32" t="str">
            <v>-</v>
          </cell>
          <cell r="D32" t="str">
            <v>-</v>
          </cell>
          <cell r="E32" t="str">
            <v>-</v>
          </cell>
          <cell r="F32">
            <v>56.3</v>
          </cell>
          <cell r="G32" t="str">
            <v>-</v>
          </cell>
        </row>
        <row r="39">
          <cell r="C39" t="str">
            <v>-</v>
          </cell>
          <cell r="D39" t="str">
            <v>-</v>
          </cell>
          <cell r="E39" t="str">
            <v>-</v>
          </cell>
          <cell r="F39" t="str">
            <v>-</v>
          </cell>
          <cell r="G39">
            <v>36.238</v>
          </cell>
        </row>
        <row r="42">
          <cell r="C42">
            <v>170.08199999999999</v>
          </cell>
          <cell r="D42">
            <v>146.45699999999999</v>
          </cell>
          <cell r="E42">
            <v>220.30799999999999</v>
          </cell>
          <cell r="F42">
            <v>207.815</v>
          </cell>
          <cell r="G42">
            <v>216.23699999999999</v>
          </cell>
        </row>
        <row r="43">
          <cell r="C43">
            <v>126.274</v>
          </cell>
          <cell r="D43">
            <v>5.3659999999999997</v>
          </cell>
          <cell r="E43">
            <v>5.3659999999999997</v>
          </cell>
          <cell r="F43">
            <v>5.3259999999999996</v>
          </cell>
          <cell r="G43">
            <v>5.3079999999999998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8C3E-6B4F-43C9-B047-00878949BAC3}">
  <dimension ref="A1:T65"/>
  <sheetViews>
    <sheetView tabSelected="1" workbookViewId="0">
      <selection activeCell="E64" sqref="E64"/>
    </sheetView>
  </sheetViews>
  <sheetFormatPr defaultRowHeight="10.199999999999999" x14ac:dyDescent="0.2"/>
  <cols>
    <col min="1" max="1" width="32.44140625" style="3" bestFit="1" customWidth="1"/>
    <col min="2" max="2" width="9.44140625" style="3" bestFit="1" customWidth="1"/>
    <col min="3" max="4" width="9.5546875" style="3" bestFit="1" customWidth="1"/>
    <col min="5" max="5" width="10.6640625" style="3" bestFit="1" customWidth="1"/>
    <col min="6" max="7" width="9.44140625" style="3" bestFit="1" customWidth="1"/>
    <col min="8" max="8" width="12.5546875" style="3" bestFit="1" customWidth="1"/>
    <col min="9" max="12" width="9.6640625" style="3" bestFit="1" customWidth="1"/>
    <col min="13" max="16384" width="8.88671875" style="3"/>
  </cols>
  <sheetData>
    <row r="1" spans="1:18" ht="13.8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 t="s">
        <v>2</v>
      </c>
      <c r="I1" s="2"/>
      <c r="J1" s="2"/>
      <c r="K1" s="2"/>
      <c r="L1" s="2"/>
    </row>
    <row r="2" spans="1:18" ht="13.2" x14ac:dyDescent="0.25">
      <c r="A2" s="4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8" ht="13.2" x14ac:dyDescent="0.25">
      <c r="A3" s="5" t="s">
        <v>4</v>
      </c>
      <c r="B3" s="5">
        <v>2018</v>
      </c>
      <c r="C3" s="5">
        <v>2019</v>
      </c>
      <c r="D3" s="5">
        <v>2020</v>
      </c>
      <c r="E3" s="5">
        <v>2021</v>
      </c>
      <c r="F3" s="5">
        <v>2022</v>
      </c>
      <c r="G3" s="5">
        <v>2023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5" spans="1:18" ht="15.75" customHeight="1" x14ac:dyDescent="0.2">
      <c r="A5" s="7" t="s">
        <v>10</v>
      </c>
      <c r="B5" s="8">
        <v>1164.7619999999999</v>
      </c>
      <c r="C5" s="8">
        <v>1158.884</v>
      </c>
      <c r="D5" s="8">
        <v>1057.893</v>
      </c>
      <c r="E5" s="8">
        <v>1364.585</v>
      </c>
      <c r="F5" s="8">
        <v>1727.684</v>
      </c>
      <c r="G5" s="8">
        <v>1783.4</v>
      </c>
      <c r="H5" s="8">
        <f>G5*(1+H6)</f>
        <v>1960.3322590973196</v>
      </c>
      <c r="I5" s="8">
        <f t="shared" ref="I5:L5" si="0">H5*(1+I6)</f>
        <v>2154.8180812255246</v>
      </c>
      <c r="J5" s="8">
        <f t="shared" si="0"/>
        <v>2368.5989666438172</v>
      </c>
      <c r="K5" s="8">
        <f t="shared" si="0"/>
        <v>2603.58919097031</v>
      </c>
      <c r="L5" s="8">
        <f t="shared" si="0"/>
        <v>2861.8929463363183</v>
      </c>
    </row>
    <row r="6" spans="1:18" ht="15.75" customHeight="1" x14ac:dyDescent="0.25">
      <c r="A6" s="9" t="s">
        <v>11</v>
      </c>
      <c r="B6" s="10"/>
      <c r="C6" s="11">
        <f>(C5-B5)/B5</f>
        <v>-5.0465245260404527E-3</v>
      </c>
      <c r="D6" s="11">
        <f t="shared" ref="D6:G6" si="1">(D5-C5)/C5</f>
        <v>-8.7145046441231375E-2</v>
      </c>
      <c r="E6" s="11">
        <f t="shared" si="1"/>
        <v>0.28990833666542837</v>
      </c>
      <c r="F6" s="11">
        <f t="shared" si="1"/>
        <v>0.26608749180153668</v>
      </c>
      <c r="G6" s="11">
        <f t="shared" si="1"/>
        <v>3.2248952933522639E-2</v>
      </c>
      <c r="H6" s="11">
        <f>AVERAGE($C$6:$G$6)</f>
        <v>9.921064208664318E-2</v>
      </c>
      <c r="I6" s="11">
        <f t="shared" ref="I6:L6" si="2">AVERAGE($C$6:$G$6)</f>
        <v>9.921064208664318E-2</v>
      </c>
      <c r="J6" s="11">
        <f t="shared" si="2"/>
        <v>9.921064208664318E-2</v>
      </c>
      <c r="K6" s="11">
        <f t="shared" si="2"/>
        <v>9.921064208664318E-2</v>
      </c>
      <c r="L6" s="11">
        <f t="shared" si="2"/>
        <v>9.921064208664318E-2</v>
      </c>
      <c r="P6" s="12"/>
      <c r="Q6" s="12"/>
      <c r="R6" s="12"/>
    </row>
    <row r="7" spans="1:18" ht="15.75" customHeight="1" x14ac:dyDescent="0.25">
      <c r="A7" s="13" t="s">
        <v>12</v>
      </c>
      <c r="B7" s="14">
        <v>328.55900000000003</v>
      </c>
      <c r="C7" s="14">
        <v>336.95100000000002</v>
      </c>
      <c r="D7" s="14">
        <v>342.96899999999999</v>
      </c>
      <c r="E7" s="14">
        <v>417.911</v>
      </c>
      <c r="F7" s="14">
        <v>530.90700000000004</v>
      </c>
      <c r="G7" s="14">
        <v>556.71799999999996</v>
      </c>
      <c r="H7" s="14">
        <f>H8*H5</f>
        <v>595.5335961080192</v>
      </c>
      <c r="I7" s="14">
        <f t="shared" ref="I7:L7" si="3">I8*I5</f>
        <v>654.61686656206336</v>
      </c>
      <c r="J7" s="14">
        <f t="shared" si="3"/>
        <v>719.56182621443213</v>
      </c>
      <c r="K7" s="14">
        <f t="shared" si="3"/>
        <v>790.95001701420347</v>
      </c>
      <c r="L7" s="14">
        <f t="shared" si="3"/>
        <v>869.42067606062403</v>
      </c>
      <c r="P7" s="15"/>
      <c r="Q7" s="15"/>
      <c r="R7" s="16"/>
    </row>
    <row r="8" spans="1:18" ht="13.2" hidden="1" x14ac:dyDescent="0.25">
      <c r="A8" s="17" t="s">
        <v>13</v>
      </c>
      <c r="B8" s="18">
        <f>B7/B5</f>
        <v>0.28208251986242688</v>
      </c>
      <c r="C8" s="18">
        <f t="shared" ref="C8:G8" si="4">C7/C5</f>
        <v>0.2907547260985569</v>
      </c>
      <c r="D8" s="18">
        <f t="shared" si="4"/>
        <v>0.3242000845076014</v>
      </c>
      <c r="E8" s="18">
        <f t="shared" si="4"/>
        <v>0.30625501526105003</v>
      </c>
      <c r="F8" s="18">
        <f t="shared" si="4"/>
        <v>0.30729404219753154</v>
      </c>
      <c r="G8" s="18">
        <f t="shared" si="4"/>
        <v>0.31216664797577659</v>
      </c>
      <c r="H8" s="18">
        <f>AVERAGE($B$8:$G$8)</f>
        <v>0.30379217265049058</v>
      </c>
      <c r="I8" s="18">
        <f t="shared" ref="I8:L8" si="5">AVERAGE($B$8:$G$8)</f>
        <v>0.30379217265049058</v>
      </c>
      <c r="J8" s="18">
        <f t="shared" si="5"/>
        <v>0.30379217265049058</v>
      </c>
      <c r="K8" s="18">
        <f t="shared" si="5"/>
        <v>0.30379217265049058</v>
      </c>
      <c r="L8" s="18">
        <f t="shared" si="5"/>
        <v>0.30379217265049058</v>
      </c>
      <c r="P8" s="15"/>
      <c r="Q8" s="15"/>
      <c r="R8" s="16"/>
    </row>
    <row r="9" spans="1:18" ht="15.75" customHeight="1" x14ac:dyDescent="0.25">
      <c r="A9" s="13" t="s">
        <v>14</v>
      </c>
      <c r="B9" s="14">
        <v>87.796999999999997</v>
      </c>
      <c r="C9" s="14">
        <v>96.941999999999993</v>
      </c>
      <c r="D9" s="14">
        <v>93.216999999999999</v>
      </c>
      <c r="E9" s="14">
        <v>104.121</v>
      </c>
      <c r="F9" s="14">
        <v>119.53400000000001</v>
      </c>
      <c r="G9" s="14">
        <v>136.80699999999999</v>
      </c>
      <c r="H9" s="14">
        <f>H10*H5</f>
        <v>153.3455511728863</v>
      </c>
      <c r="I9" s="14">
        <f t="shared" ref="I9:L9" si="6">I10*I5</f>
        <v>168.55906176587857</v>
      </c>
      <c r="J9" s="14">
        <f t="shared" si="6"/>
        <v>185.28191451319353</v>
      </c>
      <c r="K9" s="14">
        <f t="shared" si="6"/>
        <v>203.66385221908999</v>
      </c>
      <c r="L9" s="14">
        <f t="shared" si="6"/>
        <v>223.86947376758511</v>
      </c>
      <c r="P9" s="15"/>
      <c r="Q9" s="15"/>
      <c r="R9" s="16"/>
    </row>
    <row r="10" spans="1:18" ht="13.2" hidden="1" x14ac:dyDescent="0.25">
      <c r="A10" s="17" t="s">
        <v>13</v>
      </c>
      <c r="B10" s="18">
        <f>B9/B5</f>
        <v>7.5377630794960682E-2</v>
      </c>
      <c r="C10" s="18">
        <f t="shared" ref="C10:G10" si="7">C9/C5</f>
        <v>8.3651167847687946E-2</v>
      </c>
      <c r="D10" s="18">
        <f t="shared" si="7"/>
        <v>8.8115716806898239E-2</v>
      </c>
      <c r="E10" s="18">
        <f t="shared" si="7"/>
        <v>7.6302319020068371E-2</v>
      </c>
      <c r="F10" s="18">
        <f t="shared" si="7"/>
        <v>6.9187420847793932E-2</v>
      </c>
      <c r="G10" s="18">
        <f t="shared" si="7"/>
        <v>7.6711337893910492E-2</v>
      </c>
      <c r="H10" s="18">
        <f>AVERAGE($B$10:$G$10)</f>
        <v>7.8224265535219939E-2</v>
      </c>
      <c r="I10" s="18">
        <f t="shared" ref="I10:L10" si="8">AVERAGE($B$10:$G$10)</f>
        <v>7.8224265535219939E-2</v>
      </c>
      <c r="J10" s="18">
        <f t="shared" si="8"/>
        <v>7.8224265535219939E-2</v>
      </c>
      <c r="K10" s="18">
        <f t="shared" si="8"/>
        <v>7.8224265535219939E-2</v>
      </c>
      <c r="L10" s="18">
        <f t="shared" si="8"/>
        <v>7.8224265535219939E-2</v>
      </c>
      <c r="P10" s="15"/>
      <c r="Q10" s="15"/>
      <c r="R10" s="16"/>
    </row>
    <row r="11" spans="1:18" ht="15.75" customHeight="1" x14ac:dyDescent="0.25">
      <c r="A11" s="13" t="s">
        <v>15</v>
      </c>
      <c r="B11" s="14">
        <v>310.38</v>
      </c>
      <c r="C11" s="14">
        <v>277.87900000000002</v>
      </c>
      <c r="D11" s="14">
        <v>288.95499999999998</v>
      </c>
      <c r="E11" s="14">
        <v>395.32</v>
      </c>
      <c r="F11" s="14">
        <v>505</v>
      </c>
      <c r="G11" s="14">
        <v>507.26499999999999</v>
      </c>
      <c r="H11" s="14">
        <f>H15*H5</f>
        <v>537.73032273107492</v>
      </c>
      <c r="I11" s="14">
        <f t="shared" ref="I11:L11" si="9">I15*I5</f>
        <v>591.07889331868273</v>
      </c>
      <c r="J11" s="14">
        <f t="shared" si="9"/>
        <v>649.72020984869164</v>
      </c>
      <c r="K11" s="14">
        <f t="shared" si="9"/>
        <v>714.179369044449</v>
      </c>
      <c r="L11" s="14">
        <f t="shared" si="9"/>
        <v>785.03356281238246</v>
      </c>
      <c r="P11" s="15"/>
      <c r="Q11" s="15"/>
      <c r="R11" s="16"/>
    </row>
    <row r="12" spans="1:18" ht="13.2" hidden="1" x14ac:dyDescent="0.25">
      <c r="A12" s="13" t="s">
        <v>16</v>
      </c>
      <c r="B12" s="14" t="s">
        <v>17</v>
      </c>
      <c r="C12" s="14" t="s">
        <v>17</v>
      </c>
      <c r="D12" s="14" t="s">
        <v>17</v>
      </c>
      <c r="E12" s="14" t="s">
        <v>17</v>
      </c>
      <c r="F12" s="14" t="s">
        <v>17</v>
      </c>
      <c r="G12" s="14" t="s">
        <v>17</v>
      </c>
      <c r="H12" s="19"/>
      <c r="I12" s="19"/>
      <c r="J12" s="19"/>
      <c r="K12" s="19"/>
      <c r="L12" s="19"/>
      <c r="P12" s="20" t="s">
        <v>18</v>
      </c>
      <c r="Q12" s="21"/>
      <c r="R12" s="22">
        <f>R7*R9+R8*R10</f>
        <v>0</v>
      </c>
    </row>
    <row r="13" spans="1:18" ht="13.2" hidden="1" x14ac:dyDescent="0.2">
      <c r="A13" s="13" t="s">
        <v>19</v>
      </c>
      <c r="B13" s="14">
        <v>6.2530000000000001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9"/>
      <c r="I13" s="19"/>
      <c r="J13" s="19"/>
      <c r="K13" s="19"/>
      <c r="L13" s="19"/>
    </row>
    <row r="14" spans="1:18" ht="13.2" hidden="1" x14ac:dyDescent="0.2">
      <c r="A14" s="13" t="s">
        <v>20</v>
      </c>
      <c r="B14" s="14" t="s">
        <v>17</v>
      </c>
      <c r="C14" s="14" t="s">
        <v>17</v>
      </c>
      <c r="D14" s="14" t="s">
        <v>17</v>
      </c>
      <c r="E14" s="14" t="s">
        <v>17</v>
      </c>
      <c r="F14" s="14">
        <v>0.60199999999999998</v>
      </c>
      <c r="G14" s="14">
        <v>-11.1</v>
      </c>
      <c r="H14" s="19"/>
      <c r="I14" s="19"/>
      <c r="J14" s="19"/>
      <c r="K14" s="19"/>
      <c r="L14" s="19"/>
    </row>
    <row r="15" spans="1:18" ht="13.2" hidden="1" x14ac:dyDescent="0.2">
      <c r="A15" s="17" t="s">
        <v>13</v>
      </c>
      <c r="B15" s="18">
        <f>B11/B5</f>
        <v>0.2664750395359739</v>
      </c>
      <c r="C15" s="18">
        <f t="shared" ref="C15:G15" si="10">C11/C5</f>
        <v>0.239781548455238</v>
      </c>
      <c r="D15" s="18">
        <f t="shared" si="10"/>
        <v>0.2731419907306315</v>
      </c>
      <c r="E15" s="18">
        <f t="shared" si="10"/>
        <v>0.28969979883994035</v>
      </c>
      <c r="F15" s="18">
        <f t="shared" si="10"/>
        <v>0.2922988231644213</v>
      </c>
      <c r="G15" s="18">
        <f t="shared" si="10"/>
        <v>0.28443703039138724</v>
      </c>
      <c r="H15" s="18">
        <f>AVERAGE($B$15:$G$15)</f>
        <v>0.27430570518626535</v>
      </c>
      <c r="I15" s="18">
        <f t="shared" ref="I15:L15" si="11">AVERAGE($B$15:$G$15)</f>
        <v>0.27430570518626535</v>
      </c>
      <c r="J15" s="18">
        <f t="shared" si="11"/>
        <v>0.27430570518626535</v>
      </c>
      <c r="K15" s="18">
        <f t="shared" si="11"/>
        <v>0.27430570518626535</v>
      </c>
      <c r="L15" s="18">
        <f t="shared" si="11"/>
        <v>0.27430570518626535</v>
      </c>
    </row>
    <row r="16" spans="1:18" ht="15.75" customHeight="1" x14ac:dyDescent="0.2">
      <c r="A16" s="13" t="s">
        <v>21</v>
      </c>
      <c r="B16" s="14">
        <f>SUM(B12:B14)</f>
        <v>6.2530000000000001</v>
      </c>
      <c r="C16" s="14">
        <f t="shared" ref="C16:G16" si="12">SUM(C12:C14)</f>
        <v>0</v>
      </c>
      <c r="D16" s="14">
        <f t="shared" si="12"/>
        <v>0</v>
      </c>
      <c r="E16" s="14">
        <f t="shared" si="12"/>
        <v>0</v>
      </c>
      <c r="F16" s="14">
        <f t="shared" si="12"/>
        <v>0.60199999999999998</v>
      </c>
      <c r="G16" s="14">
        <f t="shared" si="12"/>
        <v>-11.1</v>
      </c>
      <c r="H16" s="14">
        <f>H17*H5</f>
        <v>-0.16569523161278413</v>
      </c>
      <c r="I16" s="14">
        <f t="shared" ref="I16:L16" si="13">I17*I5</f>
        <v>-0.18213396193178352</v>
      </c>
      <c r="J16" s="14">
        <f t="shared" si="13"/>
        <v>-0.20020358924081996</v>
      </c>
      <c r="K16" s="14">
        <f t="shared" si="13"/>
        <v>-0.22006591587745231</v>
      </c>
      <c r="L16" s="14">
        <f t="shared" si="13"/>
        <v>-0.24189879669303954</v>
      </c>
    </row>
    <row r="17" spans="1:12" ht="13.2" hidden="1" x14ac:dyDescent="0.2">
      <c r="A17" s="17" t="s">
        <v>13</v>
      </c>
      <c r="B17" s="23">
        <f>B16/B5</f>
        <v>5.3684787106722236E-3</v>
      </c>
      <c r="C17" s="23">
        <f t="shared" ref="C17:G17" si="14">C16/C5</f>
        <v>0</v>
      </c>
      <c r="D17" s="23">
        <f t="shared" si="14"/>
        <v>0</v>
      </c>
      <c r="E17" s="23">
        <f t="shared" si="14"/>
        <v>0</v>
      </c>
      <c r="F17" s="23">
        <f t="shared" si="14"/>
        <v>3.4844334959402299E-4</v>
      </c>
      <c r="G17" s="23">
        <f t="shared" si="14"/>
        <v>-6.2240663900414933E-3</v>
      </c>
      <c r="H17" s="23">
        <f>AVERAGE($B$17:$G$17)</f>
        <v>-8.4524054962541062E-5</v>
      </c>
      <c r="I17" s="23">
        <f t="shared" ref="I17:L17" si="15">AVERAGE($B$17:$G$17)</f>
        <v>-8.4524054962541062E-5</v>
      </c>
      <c r="J17" s="23">
        <f t="shared" si="15"/>
        <v>-8.4524054962541062E-5</v>
      </c>
      <c r="K17" s="23">
        <f t="shared" si="15"/>
        <v>-8.4524054962541062E-5</v>
      </c>
      <c r="L17" s="23">
        <f t="shared" si="15"/>
        <v>-8.4524054962541062E-5</v>
      </c>
    </row>
    <row r="18" spans="1:12" ht="15.75" customHeight="1" x14ac:dyDescent="0.2">
      <c r="A18" s="24" t="s">
        <v>22</v>
      </c>
      <c r="B18" s="25">
        <v>732.98900000000003</v>
      </c>
      <c r="C18" s="25">
        <v>711.77200000000005</v>
      </c>
      <c r="D18" s="25">
        <v>725.14099999999996</v>
      </c>
      <c r="E18" s="25">
        <v>917.35199999999998</v>
      </c>
      <c r="F18" s="25">
        <v>1156.0429999999999</v>
      </c>
      <c r="G18" s="25">
        <v>1189.703</v>
      </c>
      <c r="H18" s="25">
        <f>SUM(H7,H9,H11,H16)</f>
        <v>1286.4437747803677</v>
      </c>
      <c r="I18" s="25">
        <f t="shared" ref="I18:L18" si="16">SUM(I7,I9,I11,I16)</f>
        <v>1414.0726876846929</v>
      </c>
      <c r="J18" s="25">
        <f t="shared" si="16"/>
        <v>1554.3637469870766</v>
      </c>
      <c r="K18" s="25">
        <f t="shared" si="16"/>
        <v>1708.5731723618651</v>
      </c>
      <c r="L18" s="25">
        <f t="shared" si="16"/>
        <v>1878.0818138438985</v>
      </c>
    </row>
    <row r="19" spans="1:12" ht="15.75" customHeight="1" x14ac:dyDescent="0.2">
      <c r="A19" s="9" t="s">
        <v>13</v>
      </c>
      <c r="B19" s="26">
        <f t="shared" ref="B19:L19" si="17">B18/B5</f>
        <v>0.62930366890403366</v>
      </c>
      <c r="C19" s="26">
        <f t="shared" si="17"/>
        <v>0.61418744240148282</v>
      </c>
      <c r="D19" s="26">
        <f t="shared" si="17"/>
        <v>0.68545779204513113</v>
      </c>
      <c r="E19" s="26">
        <f t="shared" si="17"/>
        <v>0.67225713312105873</v>
      </c>
      <c r="F19" s="26">
        <f t="shared" si="17"/>
        <v>0.66912872955934066</v>
      </c>
      <c r="G19" s="26">
        <f t="shared" si="17"/>
        <v>0.66709823931815626</v>
      </c>
      <c r="H19" s="26">
        <f t="shared" si="17"/>
        <v>0.65623761931701341</v>
      </c>
      <c r="I19" s="26">
        <f t="shared" si="17"/>
        <v>0.6562376193170133</v>
      </c>
      <c r="J19" s="26">
        <f t="shared" si="17"/>
        <v>0.65623761931701341</v>
      </c>
      <c r="K19" s="26">
        <f t="shared" si="17"/>
        <v>0.6562376193170133</v>
      </c>
      <c r="L19" s="26">
        <f t="shared" si="17"/>
        <v>0.6562376193170133</v>
      </c>
    </row>
    <row r="20" spans="1:12" ht="15.75" customHeight="1" x14ac:dyDescent="0.2">
      <c r="A20" s="27" t="s">
        <v>23</v>
      </c>
      <c r="B20" s="28">
        <v>431.77300000000002</v>
      </c>
      <c r="C20" s="28">
        <v>447.11200000000002</v>
      </c>
      <c r="D20" s="28">
        <v>332.75200000000001</v>
      </c>
      <c r="E20" s="28">
        <v>447.233</v>
      </c>
      <c r="F20" s="28">
        <v>571.64099999999996</v>
      </c>
      <c r="G20" s="28">
        <v>593.697</v>
      </c>
      <c r="H20" s="28">
        <f>H5-H18</f>
        <v>673.88848431695192</v>
      </c>
      <c r="I20" s="28">
        <f>I5-I18</f>
        <v>740.74539354083163</v>
      </c>
      <c r="J20" s="28">
        <f>J5-J18</f>
        <v>814.23521965674058</v>
      </c>
      <c r="K20" s="28">
        <f>K5-K18</f>
        <v>895.01601860844494</v>
      </c>
      <c r="L20" s="28">
        <f>L5-L18</f>
        <v>983.8111324924198</v>
      </c>
    </row>
    <row r="21" spans="1:12" ht="15.75" customHeight="1" x14ac:dyDescent="0.2">
      <c r="A21" s="9" t="s">
        <v>24</v>
      </c>
      <c r="B21" s="29">
        <v>3.199E-3</v>
      </c>
      <c r="C21" s="29">
        <f>MEDIAN(B21,D21:G21)</f>
        <v>3.9620000000000002E-3</v>
      </c>
      <c r="D21" s="29">
        <v>9.7400000000000004E-4</v>
      </c>
      <c r="E21" s="29">
        <v>3.9620000000000002E-3</v>
      </c>
      <c r="F21" s="29">
        <v>0.33094600000000002</v>
      </c>
      <c r="G21" s="29">
        <v>8.3850999999999995E-2</v>
      </c>
      <c r="H21" s="30">
        <f>MEDIAN(B21:G21)</f>
        <v>3.9620000000000002E-3</v>
      </c>
      <c r="I21" s="30">
        <f t="shared" ref="I21:L21" si="18">MEDIAN(C21:H21)</f>
        <v>3.9620000000000002E-3</v>
      </c>
      <c r="J21" s="30">
        <f t="shared" si="18"/>
        <v>3.9620000000000002E-3</v>
      </c>
      <c r="K21" s="30">
        <f t="shared" si="18"/>
        <v>3.9620000000000002E-3</v>
      </c>
      <c r="L21" s="30">
        <f t="shared" si="18"/>
        <v>3.9620000000000002E-3</v>
      </c>
    </row>
    <row r="22" spans="1:12" ht="15.75" customHeight="1" x14ac:dyDescent="0.2">
      <c r="A22" s="31" t="s">
        <v>25</v>
      </c>
      <c r="B22" s="28">
        <f>B20*(1-B21)</f>
        <v>430.39175817300003</v>
      </c>
      <c r="C22" s="28">
        <f t="shared" ref="C22:L22" si="19">C20*(1-C21)</f>
        <v>445.34054225599999</v>
      </c>
      <c r="D22" s="28">
        <f t="shared" si="19"/>
        <v>332.42789955199999</v>
      </c>
      <c r="E22" s="28">
        <f t="shared" si="19"/>
        <v>445.46106285399998</v>
      </c>
      <c r="F22" s="28">
        <f t="shared" si="19"/>
        <v>382.45869761400002</v>
      </c>
      <c r="G22" s="28">
        <f t="shared" si="19"/>
        <v>543.91491285300003</v>
      </c>
      <c r="H22" s="28">
        <f t="shared" si="19"/>
        <v>671.21853814208816</v>
      </c>
      <c r="I22" s="28">
        <f t="shared" si="19"/>
        <v>737.81056029162289</v>
      </c>
      <c r="J22" s="28">
        <f t="shared" si="19"/>
        <v>811.00921971646051</v>
      </c>
      <c r="K22" s="28">
        <f t="shared" si="19"/>
        <v>891.46996514271825</v>
      </c>
      <c r="L22" s="28">
        <f t="shared" si="19"/>
        <v>979.91327278548476</v>
      </c>
    </row>
    <row r="23" spans="1:12" ht="15.75" customHeight="1" x14ac:dyDescent="0.2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 ht="15.75" customHeight="1" x14ac:dyDescent="0.2">
      <c r="A24" s="13" t="s">
        <v>26</v>
      </c>
      <c r="B24" s="14">
        <v>310.38</v>
      </c>
      <c r="C24" s="14">
        <v>277.87900000000002</v>
      </c>
      <c r="D24" s="14">
        <v>288.95499999999998</v>
      </c>
      <c r="E24" s="14">
        <v>395.32</v>
      </c>
      <c r="F24" s="14">
        <v>505</v>
      </c>
      <c r="G24" s="14">
        <v>507.26499999999999</v>
      </c>
      <c r="H24" s="14">
        <f>H25*H5</f>
        <v>537.73032273107492</v>
      </c>
      <c r="I24" s="14">
        <f t="shared" ref="I24:L24" si="20">I25*I5</f>
        <v>591.07889331868273</v>
      </c>
      <c r="J24" s="14">
        <f t="shared" si="20"/>
        <v>649.72020984869164</v>
      </c>
      <c r="K24" s="14">
        <f t="shared" si="20"/>
        <v>714.179369044449</v>
      </c>
      <c r="L24" s="14">
        <f t="shared" si="20"/>
        <v>785.03356281238246</v>
      </c>
    </row>
    <row r="25" spans="1:12" ht="15.75" hidden="1" customHeight="1" x14ac:dyDescent="0.2">
      <c r="A25" s="9" t="s">
        <v>13</v>
      </c>
      <c r="B25" s="29">
        <f>B24/B5</f>
        <v>0.2664750395359739</v>
      </c>
      <c r="C25" s="29">
        <f t="shared" ref="C25:G25" si="21">C24/C5</f>
        <v>0.239781548455238</v>
      </c>
      <c r="D25" s="29">
        <f t="shared" si="21"/>
        <v>0.2731419907306315</v>
      </c>
      <c r="E25" s="29">
        <f t="shared" si="21"/>
        <v>0.28969979883994035</v>
      </c>
      <c r="F25" s="29">
        <f t="shared" si="21"/>
        <v>0.2922988231644213</v>
      </c>
      <c r="G25" s="29">
        <f t="shared" si="21"/>
        <v>0.28443703039138724</v>
      </c>
      <c r="H25" s="29">
        <f>AVERAGE($B$25:$G$25)</f>
        <v>0.27430570518626535</v>
      </c>
      <c r="I25" s="29">
        <f t="shared" ref="I25:L25" si="22">AVERAGE($B$25:$G$25)</f>
        <v>0.27430570518626535</v>
      </c>
      <c r="J25" s="29">
        <f t="shared" si="22"/>
        <v>0.27430570518626535</v>
      </c>
      <c r="K25" s="29">
        <f t="shared" si="22"/>
        <v>0.27430570518626535</v>
      </c>
      <c r="L25" s="29">
        <f t="shared" si="22"/>
        <v>0.27430570518626535</v>
      </c>
    </row>
    <row r="26" spans="1:12" ht="15.75" customHeight="1" x14ac:dyDescent="0.2">
      <c r="A26" s="13" t="s">
        <v>27</v>
      </c>
      <c r="B26" s="33"/>
      <c r="C26" s="14">
        <f>'[1]Balance Sheet'!C20-'[1]Balance Sheet'!B20+C11</f>
        <v>372.74099999999919</v>
      </c>
      <c r="D26" s="14">
        <f>'[1]Balance Sheet'!D20-'[1]Balance Sheet'!C20+D11</f>
        <v>251.7720000000009</v>
      </c>
      <c r="E26" s="14">
        <f>'[1]Balance Sheet'!E20-'[1]Balance Sheet'!D20+E11</f>
        <v>5793.0769999999993</v>
      </c>
      <c r="F26" s="14">
        <f>'[1]Balance Sheet'!F20-'[1]Balance Sheet'!E20+F11</f>
        <v>589.24099999999999</v>
      </c>
      <c r="G26" s="14">
        <f>'[1]Balance Sheet'!G20-'[1]Balance Sheet'!F20+G11</f>
        <v>648.49100000000055</v>
      </c>
      <c r="H26" s="14">
        <f>H27*H5</f>
        <v>668.58762405785069</v>
      </c>
      <c r="I26" s="14">
        <f t="shared" ref="I26:L26" si="23">I27*I5</f>
        <v>734.91863153181328</v>
      </c>
      <c r="J26" s="14">
        <f t="shared" si="23"/>
        <v>807.83038084752161</v>
      </c>
      <c r="K26" s="14">
        <f t="shared" si="23"/>
        <v>887.97575162850183</v>
      </c>
      <c r="L26" s="14">
        <f t="shared" si="23"/>
        <v>976.07239610493502</v>
      </c>
    </row>
    <row r="27" spans="1:12" ht="15.75" hidden="1" customHeight="1" x14ac:dyDescent="0.2">
      <c r="A27" s="9" t="s">
        <v>13</v>
      </c>
      <c r="B27" s="10"/>
      <c r="C27" s="29">
        <f>C26/C5</f>
        <v>0.32163788610421679</v>
      </c>
      <c r="D27" s="29">
        <f t="shared" ref="D27:G27" si="24">D26/D5</f>
        <v>0.23799382357194998</v>
      </c>
      <c r="E27" s="29">
        <f t="shared" si="24"/>
        <v>4.2453031507747774</v>
      </c>
      <c r="F27" s="29">
        <f t="shared" si="24"/>
        <v>0.34105831853510249</v>
      </c>
      <c r="G27" s="29">
        <f t="shared" si="24"/>
        <v>0.36362621958057673</v>
      </c>
      <c r="H27" s="29">
        <f>MEDIAN(C27:G27)</f>
        <v>0.34105831853510249</v>
      </c>
      <c r="I27" s="29">
        <f t="shared" ref="I27:L27" si="25">MEDIAN(D27:H27)</f>
        <v>0.34105831853510249</v>
      </c>
      <c r="J27" s="29">
        <f t="shared" si="25"/>
        <v>0.34105831853510249</v>
      </c>
      <c r="K27" s="29">
        <f t="shared" si="25"/>
        <v>0.34105831853510249</v>
      </c>
      <c r="L27" s="29">
        <f t="shared" si="25"/>
        <v>0.34105831853510249</v>
      </c>
    </row>
    <row r="28" spans="1:12" ht="15.75" customHeight="1" x14ac:dyDescent="0.2">
      <c r="A28" s="13" t="s">
        <v>28</v>
      </c>
      <c r="B28" s="33"/>
      <c r="C28" s="14">
        <f>(SUM('[1]Balance Sheet'!C26:C32)-SUM('[1]Balance Sheet'!C39,'[1]Balance Sheet'!C42,'[1]Balance Sheet'!C43))-(SUM('[1]Balance Sheet'!D26:D32)-SUM('[1]Balance Sheet'!D39,'[1]Balance Sheet'!D42,'[1]Balance Sheet'!D43))</f>
        <v>-623.13800000000015</v>
      </c>
      <c r="D28" s="14">
        <f>(SUM('[1]Balance Sheet'!D26:D32)-SUM('[1]Balance Sheet'!D39,'[1]Balance Sheet'!D42,'[1]Balance Sheet'!D43))-(SUM('[1]Balance Sheet'!E26:E32)-SUM('[1]Balance Sheet'!E39,'[1]Balance Sheet'!E42,'[1]Balance Sheet'!E43))</f>
        <v>-849.53699999999981</v>
      </c>
      <c r="E28" s="14">
        <f>(SUM('[1]Balance Sheet'!E26:E32)-SUM('[1]Balance Sheet'!E39,'[1]Balance Sheet'!E42,'[1]Balance Sheet'!E43))-(SUM('[1]Balance Sheet'!F26:F32)-SUM('[1]Balance Sheet'!F39,'[1]Balance Sheet'!F42,'[1]Balance Sheet'!F43))</f>
        <v>595.51200000000017</v>
      </c>
      <c r="F28" s="14">
        <f>(SUM('[1]Balance Sheet'!F26:F32)-SUM('[1]Balance Sheet'!F39,'[1]Balance Sheet'!F42,'[1]Balance Sheet'!F43))-(SUM('[1]Balance Sheet'!G26:G32)-SUM('[1]Balance Sheet'!G39,'[1]Balance Sheet'!G42,'[1]Balance Sheet'!G43))</f>
        <v>340.25799999999992</v>
      </c>
      <c r="G28" s="14">
        <f>(SUM('[1]Balance Sheet'!G26:G32)-SUM('[1]Balance Sheet'!G39,'[1]Balance Sheet'!G42,'[1]Balance Sheet'!G43))-(SUM('[1]Balance Sheet'!H26:H32)-SUM('[1]Balance Sheet'!H39,'[1]Balance Sheet'!H42,'[1]Balance Sheet'!H43))</f>
        <v>956.48399999999981</v>
      </c>
      <c r="H28" s="14">
        <f>H29*H5</f>
        <v>-67.072994910144374</v>
      </c>
      <c r="I28" s="14">
        <f t="shared" ref="I28:L28" si="26">I29*I5</f>
        <v>-73.727349801853947</v>
      </c>
      <c r="J28" s="14">
        <f t="shared" si="26"/>
        <v>-81.041887515042418</v>
      </c>
      <c r="K28" s="14">
        <f t="shared" si="26"/>
        <v>-89.082105211323295</v>
      </c>
      <c r="L28" s="14">
        <f t="shared" si="26"/>
        <v>-97.919998067768589</v>
      </c>
    </row>
    <row r="29" spans="1:12" ht="15.75" hidden="1" customHeight="1" x14ac:dyDescent="0.2">
      <c r="A29" s="9" t="s">
        <v>13</v>
      </c>
      <c r="B29" s="10"/>
      <c r="C29" s="29">
        <f>C28/C5</f>
        <v>-0.53770524055902069</v>
      </c>
      <c r="D29" s="29">
        <f t="shared" ref="D29:G29" si="27">D28/D5</f>
        <v>-0.80304624380726575</v>
      </c>
      <c r="E29" s="29">
        <f t="shared" si="27"/>
        <v>0.43640520744402156</v>
      </c>
      <c r="F29" s="29">
        <f t="shared" si="27"/>
        <v>0.19694458014312799</v>
      </c>
      <c r="G29" s="29">
        <f t="shared" si="27"/>
        <v>0.53632611864976998</v>
      </c>
      <c r="H29" s="29">
        <f>AVERAGE($C$29:$G$29)</f>
        <v>-3.4215115625873385E-2</v>
      </c>
      <c r="I29" s="29">
        <f t="shared" ref="I29:L29" si="28">AVERAGE($C$29:$G$29)</f>
        <v>-3.4215115625873385E-2</v>
      </c>
      <c r="J29" s="29">
        <f t="shared" si="28"/>
        <v>-3.4215115625873385E-2</v>
      </c>
      <c r="K29" s="29">
        <f t="shared" si="28"/>
        <v>-3.4215115625873385E-2</v>
      </c>
      <c r="L29" s="29">
        <f t="shared" si="28"/>
        <v>-3.4215115625873385E-2</v>
      </c>
    </row>
    <row r="30" spans="1:12" ht="15.75" customHeight="1" x14ac:dyDescent="0.2">
      <c r="H30" s="34">
        <v>1</v>
      </c>
      <c r="I30" s="34">
        <f>H30+1</f>
        <v>2</v>
      </c>
      <c r="J30" s="34">
        <f t="shared" ref="J30:L30" si="29">I30+1</f>
        <v>3</v>
      </c>
      <c r="K30" s="34">
        <f t="shared" si="29"/>
        <v>4</v>
      </c>
      <c r="L30" s="34">
        <f t="shared" si="29"/>
        <v>5</v>
      </c>
    </row>
    <row r="31" spans="1:12" ht="13.2" x14ac:dyDescent="0.2">
      <c r="A31" s="35" t="s">
        <v>29</v>
      </c>
      <c r="B31" s="36"/>
      <c r="C31" s="36"/>
      <c r="D31" s="36"/>
      <c r="E31" s="36"/>
      <c r="F31" s="36"/>
      <c r="G31" s="36"/>
      <c r="H31" s="36">
        <f>H22+H24-H26-H28</f>
        <v>607.43423172545681</v>
      </c>
      <c r="I31" s="36">
        <f>I22+I24-I26-I28</f>
        <v>667.69817188034642</v>
      </c>
      <c r="J31" s="36">
        <f>J22+J24-J26-J28</f>
        <v>733.94093623267304</v>
      </c>
      <c r="K31" s="36">
        <f>K22+K24-K26-K28</f>
        <v>806.75568776998887</v>
      </c>
      <c r="L31" s="36">
        <f>L22+L24-L26-L28</f>
        <v>886.79443756070077</v>
      </c>
    </row>
    <row r="32" spans="1:12" ht="13.2" x14ac:dyDescent="0.2">
      <c r="A32" s="13" t="s">
        <v>18</v>
      </c>
      <c r="B32" s="37">
        <v>8.3000000000000004E-2</v>
      </c>
    </row>
    <row r="33" spans="1:20" ht="13.2" x14ac:dyDescent="0.2">
      <c r="A33" s="38" t="s">
        <v>30</v>
      </c>
      <c r="B33" s="39"/>
      <c r="C33" s="39"/>
      <c r="D33" s="39"/>
      <c r="E33" s="39"/>
      <c r="F33" s="39"/>
      <c r="G33" s="39"/>
      <c r="H33" s="40">
        <f>H31/((1+$B$32)^H30)</f>
        <v>560.88110039285027</v>
      </c>
      <c r="I33" s="40">
        <f t="shared" ref="I33:L33" si="30">I31/((1+$B$32)^I30)</f>
        <v>569.27652308133725</v>
      </c>
      <c r="J33" s="40">
        <f t="shared" si="30"/>
        <v>577.7976107673943</v>
      </c>
      <c r="K33" s="40">
        <f t="shared" si="30"/>
        <v>586.44624443929467</v>
      </c>
      <c r="L33" s="40">
        <f t="shared" si="30"/>
        <v>595.22433324045937</v>
      </c>
    </row>
    <row r="35" spans="1:20" ht="13.2" x14ac:dyDescent="0.25">
      <c r="A35" s="41" t="s">
        <v>31</v>
      </c>
    </row>
    <row r="36" spans="1:20" ht="13.2" x14ac:dyDescent="0.25">
      <c r="A36" t="s">
        <v>18</v>
      </c>
      <c r="B36" s="42">
        <f>C58</f>
        <v>8.3010500000000001E-2</v>
      </c>
    </row>
    <row r="37" spans="1:20" ht="13.2" x14ac:dyDescent="0.25">
      <c r="A37" t="s">
        <v>32</v>
      </c>
      <c r="B37" s="42">
        <v>0.02</v>
      </c>
    </row>
    <row r="38" spans="1:20" ht="13.2" x14ac:dyDescent="0.25">
      <c r="A38" t="s">
        <v>33</v>
      </c>
      <c r="B38" s="43">
        <f>(L33*(1+B37))/((B36-B37))/((1+B32)^K30)</f>
        <v>7004.1283618731177</v>
      </c>
    </row>
    <row r="39" spans="1:20" ht="13.2" x14ac:dyDescent="0.25">
      <c r="A39" t="s">
        <v>34</v>
      </c>
      <c r="B39" s="43">
        <f>B38+SUM(H33:L33)</f>
        <v>9893.7541737944539</v>
      </c>
    </row>
    <row r="40" spans="1:20" ht="13.2" x14ac:dyDescent="0.25">
      <c r="A40" t="s">
        <v>35</v>
      </c>
      <c r="B40" s="44">
        <v>6967.4560000000001</v>
      </c>
    </row>
    <row r="41" spans="1:20" ht="13.2" x14ac:dyDescent="0.25">
      <c r="A41" t="s">
        <v>36</v>
      </c>
      <c r="B41" s="45">
        <v>674.13</v>
      </c>
    </row>
    <row r="42" spans="1:20" ht="13.2" x14ac:dyDescent="0.25">
      <c r="A42" s="46" t="s">
        <v>37</v>
      </c>
      <c r="B42" s="47">
        <f>(B39+B40)/B41</f>
        <v>25.011808069355251</v>
      </c>
    </row>
    <row r="44" spans="1:20" ht="13.2" x14ac:dyDescent="0.25">
      <c r="A44" s="41" t="s">
        <v>38</v>
      </c>
      <c r="B44"/>
      <c r="M44" s="48"/>
      <c r="N44" s="48"/>
      <c r="O44" s="48"/>
      <c r="P44" s="48"/>
      <c r="Q44" s="48"/>
      <c r="R44" s="48"/>
      <c r="S44" s="48"/>
      <c r="T44" s="48"/>
    </row>
    <row r="45" spans="1:20" ht="13.2" x14ac:dyDescent="0.25">
      <c r="A45" t="s">
        <v>39</v>
      </c>
      <c r="B45" s="49">
        <f>L20</f>
        <v>983.8111324924198</v>
      </c>
      <c r="M45" s="48"/>
      <c r="N45" s="50"/>
      <c r="O45" s="48"/>
      <c r="P45" s="48"/>
      <c r="Q45" s="48"/>
      <c r="R45" s="50"/>
      <c r="S45" s="48"/>
      <c r="T45" s="48"/>
    </row>
    <row r="46" spans="1:20" ht="13.2" x14ac:dyDescent="0.25">
      <c r="A46" t="s">
        <v>38</v>
      </c>
      <c r="B46" s="51">
        <v>23.4</v>
      </c>
    </row>
    <row r="47" spans="1:20" ht="13.2" x14ac:dyDescent="0.25">
      <c r="A47" t="s">
        <v>40</v>
      </c>
      <c r="B47" s="43">
        <f>(B45*B46)/((1+R10)^L29)</f>
        <v>23021.180500322622</v>
      </c>
    </row>
    <row r="48" spans="1:20" ht="13.2" x14ac:dyDescent="0.25">
      <c r="A48" s="15" t="s">
        <v>41</v>
      </c>
      <c r="B48" s="45">
        <f>B47/((1+B32)^L30)</f>
        <v>15452.021611011569</v>
      </c>
    </row>
    <row r="49" spans="1:3" ht="13.2" x14ac:dyDescent="0.25">
      <c r="A49" t="str">
        <f>A40</f>
        <v>Net Debt</v>
      </c>
      <c r="B49" s="45">
        <f>B40</f>
        <v>6967.4560000000001</v>
      </c>
    </row>
    <row r="50" spans="1:3" ht="13.2" x14ac:dyDescent="0.25">
      <c r="A50" t="s">
        <v>36</v>
      </c>
      <c r="B50" s="45">
        <v>674.13</v>
      </c>
    </row>
    <row r="51" spans="1:3" ht="13.2" x14ac:dyDescent="0.25">
      <c r="A51" s="46" t="s">
        <v>37</v>
      </c>
      <c r="B51" s="47">
        <f>(B48+B49)/B50</f>
        <v>33.256905361000953</v>
      </c>
    </row>
    <row r="53" spans="1:3" ht="13.2" x14ac:dyDescent="0.25">
      <c r="A53" t="s">
        <v>42</v>
      </c>
      <c r="B53"/>
      <c r="C53" s="42">
        <v>0.111</v>
      </c>
    </row>
    <row r="54" spans="1:3" ht="13.2" x14ac:dyDescent="0.25">
      <c r="A54" t="s">
        <v>43</v>
      </c>
      <c r="B54"/>
      <c r="C54" s="42">
        <v>3.4000000000000002E-2</v>
      </c>
    </row>
    <row r="55" spans="1:3" ht="13.2" x14ac:dyDescent="0.25">
      <c r="A55" t="s">
        <v>44</v>
      </c>
      <c r="B55"/>
      <c r="C55" s="42">
        <f>1-C56</f>
        <v>0.63650000000000007</v>
      </c>
    </row>
    <row r="56" spans="1:3" ht="13.2" x14ac:dyDescent="0.25">
      <c r="A56" t="s">
        <v>45</v>
      </c>
      <c r="B56"/>
      <c r="C56" s="42">
        <v>0.36349999999999999</v>
      </c>
    </row>
    <row r="57" spans="1:3" ht="13.2" x14ac:dyDescent="0.25">
      <c r="A57" t="s">
        <v>46</v>
      </c>
      <c r="B57"/>
      <c r="C57" s="42">
        <v>9.4700000000000006E-2</v>
      </c>
    </row>
    <row r="58" spans="1:3" ht="13.2" x14ac:dyDescent="0.25">
      <c r="A58" s="46" t="s">
        <v>18</v>
      </c>
      <c r="B58" s="39"/>
      <c r="C58" s="52">
        <f>C53*C55+C54*C56</f>
        <v>8.3010500000000001E-2</v>
      </c>
    </row>
    <row r="59" spans="1:3" ht="13.2" x14ac:dyDescent="0.25">
      <c r="A59"/>
      <c r="B59" s="45"/>
    </row>
    <row r="65" spans="6:8" ht="13.8" x14ac:dyDescent="0.25">
      <c r="F65" s="53"/>
      <c r="G65" s="53"/>
      <c r="H65" s="53"/>
    </row>
  </sheetData>
  <mergeCells count="2">
    <mergeCell ref="B1:G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Goldberg, Leo</dc:creator>
  <cp:lastModifiedBy>Goldberg, Leo</cp:lastModifiedBy>
  <dcterms:created xsi:type="dcterms:W3CDTF">2024-04-02T15:16:39Z</dcterms:created>
  <dcterms:modified xsi:type="dcterms:W3CDTF">2024-04-02T15:17:00Z</dcterms:modified>
</cp:coreProperties>
</file>