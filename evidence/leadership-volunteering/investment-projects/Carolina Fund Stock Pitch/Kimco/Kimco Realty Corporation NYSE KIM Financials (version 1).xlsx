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filterPrivacy="1"/>
  <xr:revisionPtr revIDLastSave="0" documentId="8_{C4B62362-96C4-44C1-9411-6F4FCF4FDB75}" xr6:coauthVersionLast="47" xr6:coauthVersionMax="47" xr10:uidLastSave="{00000000-0000-0000-0000-000000000000}"/>
  <bookViews>
    <workbookView xWindow="-96" yWindow="0" windowWidth="10740" windowHeight="12336" activeTab="1"/>
    <workbookView xWindow="28692" yWindow="-600" windowWidth="24096" windowHeight="16176" activeTab="3"/>
    <workbookView xWindow="10452" yWindow="0" windowWidth="12684" windowHeight="12336" firstSheet="1" activeTab="2"/>
  </bookViews>
  <sheets>
    <sheet name="Key Stats" sheetId="1" r:id="rId1"/>
    <sheet name="DCF" sheetId="14" r:id="rId2"/>
    <sheet name="DCF Real" sheetId="15" r:id="rId3"/>
    <sheet name="Income Statement" sheetId="2" r:id="rId4"/>
    <sheet name="Balance Sheet" sheetId="3" r:id="rId5"/>
    <sheet name="Cash Flow" sheetId="4" r:id="rId6"/>
    <sheet name="Multiples" sheetId="5" r:id="rId7"/>
    <sheet name="Historical Capitalization" sheetId="6" r:id="rId8"/>
    <sheet name="Capital Structure Summary" sheetId="7" r:id="rId9"/>
    <sheet name="Capital Structure Details" sheetId="8" r:id="rId10"/>
    <sheet name="Ratios" sheetId="9" r:id="rId11"/>
    <sheet name="Supplemental" sheetId="10" r:id="rId12"/>
    <sheet name="Industry Specific" sheetId="11" r:id="rId13"/>
    <sheet name="Pension OPEB" sheetId="12" r:id="rId14"/>
    <sheet name="Segments" sheetId="13" r:id="rId15"/>
  </sheets>
  <externalReferences>
    <externalReference r:id="rId16"/>
  </externalReferences>
  <definedNames>
    <definedName name="_xlnm.Print_Titles" localSheetId="4">'Balance Sheet'!$1:$3</definedName>
    <definedName name="_xlnm.Print_Titles" localSheetId="9">'Capital Structure Details'!$1:$3</definedName>
    <definedName name="_xlnm.Print_Titles" localSheetId="8">'Capital Structure Summary'!$1:$3</definedName>
    <definedName name="_xlnm.Print_Titles" localSheetId="5">'Cash Flow'!$1:$3</definedName>
    <definedName name="_xlnm.Print_Titles" localSheetId="7">'Historical Capitalization'!$1:$3</definedName>
    <definedName name="_xlnm.Print_Titles" localSheetId="3">'Income Statement'!$1:$3</definedName>
    <definedName name="_xlnm.Print_Titles" localSheetId="12">'Industry Specific'!$1:$3</definedName>
    <definedName name="_xlnm.Print_Titles" localSheetId="0">'Key Stats'!$1:$3</definedName>
    <definedName name="_xlnm.Print_Titles" localSheetId="6">Multiples!$1:$3</definedName>
    <definedName name="_xlnm.Print_Titles" localSheetId="13">'Pension OPEB'!$1:$3</definedName>
    <definedName name="_xlnm.Print_Titles" localSheetId="10">Ratios!$1:$3</definedName>
    <definedName name="_xlnm.Print_Titles" localSheetId="14">Segments!$1:$3</definedName>
    <definedName name="_xlnm.Print_Titles" localSheetId="11">Supplemental!$1:$3</definedName>
  </definedNames>
  <calcPr calcId="191029" fullCalcOnLoad="1"/>
  <fileRecoveryPr autoRecover="0"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5" l="1"/>
  <c r="C20" i="15"/>
  <c r="H20" i="15" s="1"/>
  <c r="D20" i="15"/>
  <c r="E20" i="15"/>
  <c r="F20" i="15"/>
  <c r="G20" i="15"/>
  <c r="B20" i="15"/>
  <c r="D6" i="15"/>
  <c r="E6" i="15"/>
  <c r="F6" i="15"/>
  <c r="G6" i="15"/>
  <c r="C6" i="15"/>
  <c r="C17" i="15"/>
  <c r="D17" i="15"/>
  <c r="E17" i="15"/>
  <c r="F17" i="15"/>
  <c r="G17" i="15"/>
  <c r="B17" i="15"/>
  <c r="H5" i="14"/>
  <c r="H23" i="14" s="1"/>
  <c r="I5" i="14"/>
  <c r="I7" i="14" s="1"/>
  <c r="J5" i="14"/>
  <c r="K5" i="14" s="1"/>
  <c r="C6" i="14"/>
  <c r="D6" i="14"/>
  <c r="E6" i="14"/>
  <c r="F6" i="14"/>
  <c r="G6" i="14"/>
  <c r="H7" i="14"/>
  <c r="H9" i="14" s="1"/>
  <c r="B8" i="14"/>
  <c r="C8" i="14"/>
  <c r="D8" i="14"/>
  <c r="E8" i="14"/>
  <c r="F8" i="14"/>
  <c r="G8" i="14"/>
  <c r="B10" i="14"/>
  <c r="C10" i="14"/>
  <c r="D10" i="14"/>
  <c r="E10" i="14"/>
  <c r="F10" i="14"/>
  <c r="G10" i="14"/>
  <c r="B12" i="14"/>
  <c r="C12" i="14"/>
  <c r="D12" i="14"/>
  <c r="E12" i="14"/>
  <c r="F12" i="14"/>
  <c r="G12" i="14"/>
  <c r="B14" i="14"/>
  <c r="C14" i="14"/>
  <c r="D14" i="14"/>
  <c r="E14" i="14"/>
  <c r="F14" i="14"/>
  <c r="G14" i="14"/>
  <c r="B15" i="14"/>
  <c r="B17" i="14" s="1"/>
  <c r="C15" i="14"/>
  <c r="C17" i="14" s="1"/>
  <c r="D15" i="14"/>
  <c r="H12" i="14" s="1"/>
  <c r="H11" i="14" s="1"/>
  <c r="E15" i="14"/>
  <c r="F15" i="14"/>
  <c r="F17" i="14" s="1"/>
  <c r="G15" i="14"/>
  <c r="E17" i="14"/>
  <c r="B20" i="14"/>
  <c r="H20" i="14" s="1"/>
  <c r="H19" i="14" s="1"/>
  <c r="C20" i="14"/>
  <c r="D20" i="14"/>
  <c r="E20" i="14"/>
  <c r="F20" i="14"/>
  <c r="G20" i="14"/>
  <c r="L20" i="14"/>
  <c r="H21" i="14"/>
  <c r="B22" i="14"/>
  <c r="C22" i="14"/>
  <c r="D22" i="14"/>
  <c r="E22" i="14"/>
  <c r="F22" i="14"/>
  <c r="G22" i="14"/>
  <c r="H22" i="14"/>
  <c r="I22" i="14"/>
  <c r="J22" i="14"/>
  <c r="K22" i="14"/>
  <c r="L22" i="14"/>
  <c r="B23" i="14"/>
  <c r="C23" i="14"/>
  <c r="K20" i="14" s="1"/>
  <c r="D23" i="14"/>
  <c r="E23" i="14"/>
  <c r="F23" i="14"/>
  <c r="G23" i="14"/>
  <c r="K6" i="15" l="1"/>
  <c r="I20" i="15"/>
  <c r="L20" i="15"/>
  <c r="J20" i="15"/>
  <c r="K20" i="15"/>
  <c r="I6" i="15"/>
  <c r="J6" i="15"/>
  <c r="H6" i="15"/>
  <c r="H5" i="15" s="1"/>
  <c r="L6" i="15"/>
  <c r="I20" i="14"/>
  <c r="I19" i="14" s="1"/>
  <c r="I23" i="14"/>
  <c r="D17" i="14"/>
  <c r="J12" i="14"/>
  <c r="H10" i="14"/>
  <c r="H13" i="14"/>
  <c r="L5" i="14"/>
  <c r="K23" i="14"/>
  <c r="K7" i="14"/>
  <c r="K9" i="14" s="1"/>
  <c r="K21" i="14"/>
  <c r="K19" i="14"/>
  <c r="I12" i="14"/>
  <c r="I11" i="14" s="1"/>
  <c r="I9" i="14"/>
  <c r="J20" i="14"/>
  <c r="J19" i="14" s="1"/>
  <c r="J11" i="14"/>
  <c r="J21" i="14"/>
  <c r="G17" i="14"/>
  <c r="I21" i="14"/>
  <c r="L12" i="14"/>
  <c r="J7" i="14"/>
  <c r="J9" i="14" s="1"/>
  <c r="J23" i="14"/>
  <c r="K12" i="14"/>
  <c r="K11" i="14" s="1"/>
  <c r="I5" i="15" l="1"/>
  <c r="J5" i="15" s="1"/>
  <c r="H19" i="15"/>
  <c r="H21" i="15" s="1"/>
  <c r="K13" i="14"/>
  <c r="K10" i="14"/>
  <c r="J13" i="14"/>
  <c r="J10" i="14"/>
  <c r="H14" i="14"/>
  <c r="H15" i="14"/>
  <c r="H17" i="14"/>
  <c r="I13" i="14"/>
  <c r="I10" i="14"/>
  <c r="L23" i="14"/>
  <c r="L19" i="14"/>
  <c r="L21" i="14"/>
  <c r="L11" i="14"/>
  <c r="L7" i="14"/>
  <c r="L9" i="14" s="1"/>
  <c r="K5" i="15" l="1"/>
  <c r="J19" i="15"/>
  <c r="J21" i="15" s="1"/>
  <c r="I19" i="15"/>
  <c r="I21" i="15" s="1"/>
  <c r="L10" i="14"/>
  <c r="L13" i="14"/>
  <c r="I14" i="14"/>
  <c r="I15" i="14"/>
  <c r="I17" i="14"/>
  <c r="J15" i="14"/>
  <c r="J17" i="14" s="1"/>
  <c r="J14" i="14"/>
  <c r="K14" i="14"/>
  <c r="K15" i="14"/>
  <c r="K17" i="14" s="1"/>
  <c r="L5" i="15" l="1"/>
  <c r="K19" i="15"/>
  <c r="K21" i="15" s="1"/>
  <c r="L14" i="14"/>
  <c r="L15" i="14"/>
  <c r="L17" i="14" s="1"/>
  <c r="L19" i="15" l="1"/>
  <c r="L21" i="15" s="1"/>
</calcChain>
</file>

<file path=xl/sharedStrings.xml><?xml version="1.0" encoding="utf-8"?>
<sst xmlns="http://schemas.openxmlformats.org/spreadsheetml/2006/main" count="2423" uniqueCount="825">
  <si>
    <t>Kimco Realty Corporation (NYSE:KIM) &gt; Financials &gt; Key Stats</t>
  </si>
  <si>
    <t>In Millions of the trading currency, except per share items.</t>
  </si>
  <si>
    <t>Currency:</t>
  </si>
  <si>
    <t>Trading Currency</t>
  </si>
  <si>
    <t> </t>
  </si>
  <si>
    <t>Conversion:</t>
  </si>
  <si>
    <t>Historical</t>
  </si>
  <si>
    <t>Order:</t>
  </si>
  <si>
    <t>Latest on Right</t>
  </si>
  <si>
    <t>Units:</t>
  </si>
  <si>
    <t>S&amp;P Capital IQ (Default)</t>
  </si>
  <si>
    <t>Decimals:</t>
  </si>
  <si>
    <t>Capital IQ (Default)</t>
  </si>
  <si>
    <t>Dilution:</t>
  </si>
  <si>
    <t>Basic</t>
  </si>
  <si>
    <t>Key Financials¹</t>
  </si>
  <si>
    <t xml:space="preserve">For the Fiscal Period Ending
</t>
  </si>
  <si>
    <t>12 months
Dec-31-2019A</t>
  </si>
  <si>
    <t>12 months
Dec-31-2020A</t>
  </si>
  <si>
    <t>12 months
Dec-31-2021A</t>
  </si>
  <si>
    <t>12 months
Dec-31-2022A</t>
  </si>
  <si>
    <t>12 months
Dec-31-2023A</t>
  </si>
  <si>
    <t>12 months†
Dec-31-2024E</t>
  </si>
  <si>
    <t>12 months
Dec-31-2025E</t>
  </si>
  <si>
    <t>12 months
Dec-31-2026E</t>
  </si>
  <si>
    <t>Currency</t>
  </si>
  <si>
    <t>USD</t>
  </si>
  <si>
    <t>Total Revenue</t>
  </si>
  <si>
    <t xml:space="preserve">  Growth Over Prior Year</t>
  </si>
  <si>
    <t>Gross Profit</t>
  </si>
  <si>
    <t>-</t>
  </si>
  <si>
    <t xml:space="preserve">  Margin %</t>
  </si>
  <si>
    <t>EBITDA</t>
  </si>
  <si>
    <t>EBIT</t>
  </si>
  <si>
    <t>Earnings from Cont. Ops.</t>
  </si>
  <si>
    <t>FFO</t>
  </si>
  <si>
    <t>NA</t>
  </si>
  <si>
    <t>Net Income</t>
  </si>
  <si>
    <t>Diluted EPS Excl. Extra Items³</t>
  </si>
  <si>
    <t xml:space="preserve"> </t>
  </si>
  <si>
    <t>Exchange Rate</t>
  </si>
  <si>
    <t>Conversion Method</t>
  </si>
  <si>
    <t>H</t>
  </si>
  <si>
    <t>S</t>
  </si>
  <si>
    <t>¹All results are taken from the most recently filed statement for each period. When there has been more than one, earlier filings can be viewed on the individual statement pages.</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</si>
  <si>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</si>
  <si>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</si>
  <si>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</si>
  <si>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Latest Capitalization (Millions of USD)</t>
  </si>
  <si>
    <t>Share Price</t>
  </si>
  <si>
    <t>Shares Out.</t>
  </si>
  <si>
    <t>Market Capitalization</t>
  </si>
  <si>
    <t>- Cash &amp; Short Term Investments</t>
  </si>
  <si>
    <t>+ Total Debt</t>
  </si>
  <si>
    <t>+ Pref. Equity</t>
  </si>
  <si>
    <t>+ Total Minority Interest</t>
  </si>
  <si>
    <t>- Long Term Marketable Securities</t>
  </si>
  <si>
    <t>= Total Enterprise Value (TEV)</t>
  </si>
  <si>
    <t>Implied Shares Outstanding</t>
  </si>
  <si>
    <t>Implied Market Capitalization</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</si>
  <si>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</si>
  <si>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</si>
  <si>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</si>
  <si>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*Includes number of shares outstanding + shares held by non-controlling interest holders without accounting for dilutive securities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</si>
  <si>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</si>
  <si>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</si>
  <si>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</si>
  <si>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</si>
  <si>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</si>
  <si>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12 months
Dec-31-2024E</t>
  </si>
  <si>
    <t>TEV/Total Revenue</t>
  </si>
  <si>
    <t>TEV/EBITDA</t>
  </si>
  <si>
    <t>TEV/EBIT</t>
  </si>
  <si>
    <t>P/Diluted EPS Before Extra</t>
  </si>
  <si>
    <t>P/BV</t>
  </si>
  <si>
    <t>Price/Tang BV</t>
  </si>
  <si>
    <t xml:space="preserve">
               </t>
  </si>
  <si>
    <t>Kimco Realty Corporation (NYSE:KIM) &gt; Financials &gt; Income Statement</t>
  </si>
  <si>
    <t>In Millions of the reported currency, except per share items.</t>
  </si>
  <si>
    <t>Template:</t>
  </si>
  <si>
    <t>Real Estate</t>
  </si>
  <si>
    <t>Restatement:</t>
  </si>
  <si>
    <t>Latest Filings</t>
  </si>
  <si>
    <t>Period Type:</t>
  </si>
  <si>
    <t>Annual</t>
  </si>
  <si>
    <t>Order:</t>
  </si>
  <si>
    <t>Currency:</t>
  </si>
  <si>
    <t>Reported Currency</t>
  </si>
  <si>
    <t>Conversion:</t>
  </si>
  <si>
    <t>Units:</t>
  </si>
  <si>
    <t>Decimals:</t>
  </si>
  <si>
    <t>Source:</t>
  </si>
  <si>
    <t>Capital IQ &amp; Proprietary Data</t>
  </si>
  <si>
    <t>Income Statement</t>
  </si>
  <si>
    <t>Reclassified
12 months
Dec-31-2018</t>
  </si>
  <si>
    <t>Reclassified
12 months
Dec-31-2019</t>
  </si>
  <si>
    <t>12 months
Dec-31-2020</t>
  </si>
  <si>
    <t>Reclassified
12 months
Dec-31-2021</t>
  </si>
  <si>
    <t>12 months
Dec-31-2022</t>
  </si>
  <si>
    <t>12 months
Dec-31-2023</t>
  </si>
  <si>
    <t>Rental Revenue</t>
  </si>
  <si>
    <t>Tenant Reimbursements</t>
  </si>
  <si>
    <t>Property Management Fee</t>
  </si>
  <si>
    <t>Other Revenue</t>
  </si>
  <si>
    <t xml:space="preserve">  Total Revenue</t>
  </si>
  <si>
    <t>Property Exp.</t>
  </si>
  <si>
    <t>Selling General &amp; Admin Exp.</t>
  </si>
  <si>
    <t>Depreciation &amp; Amort.</t>
  </si>
  <si>
    <t>Amort. of Goodwill and Intangibles</t>
  </si>
  <si>
    <t>Provision for Bad Debts</t>
  </si>
  <si>
    <t>Other Operating Exp.</t>
  </si>
  <si>
    <t xml:space="preserve">  Total Operating Exp.</t>
  </si>
  <si>
    <t xml:space="preserve">  Operating Income</t>
  </si>
  <si>
    <t>Interest Expense, Total</t>
  </si>
  <si>
    <t>Interest and Invest. Income</t>
  </si>
  <si>
    <t xml:space="preserve">  Net Interest Exp.</t>
  </si>
  <si>
    <t>Income/(Loss) from Affiliates</t>
  </si>
  <si>
    <t>Other Non-Operating Inc. (Exp.)</t>
  </si>
  <si>
    <t xml:space="preserve">  EBT Excl. Unusual Items</t>
  </si>
  <si>
    <t>Total Merger &amp; Rel. Restruct. Charges</t>
  </si>
  <si>
    <t>Impairment of Goodwill</t>
  </si>
  <si>
    <t>Gain (Loss) on Sale of Invest.</t>
  </si>
  <si>
    <t>Gain (Loss) On Sale Of Assets</t>
  </si>
  <si>
    <t>Asset Writedown</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</si>
  <si>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</si>
  <si>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</si>
  <si>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</si>
  <si>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</si>
  <si>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</si>
  <si>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</si>
  <si>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</si>
  <si>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</si>
  <si>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</si>
  <si>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</si>
  <si>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</si>
  <si>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</si>
  <si>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</si>
  <si>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</si>
  <si>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</si>
  <si>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</si>
  <si>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</si>
  <si>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</si>
  <si>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</si>
  <si>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</si>
  <si>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</si>
  <si>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</si>
  <si>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</si>
  <si>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Shares per Depository Receipt</t>
  </si>
  <si>
    <t>Supplemental Items</t>
  </si>
  <si>
    <t>EBITA</t>
  </si>
  <si>
    <t>EBITDAR</t>
  </si>
  <si>
    <t>As Reported Total Revenue*</t>
  </si>
  <si>
    <t>Effective Tax Rate %</t>
  </si>
  <si>
    <t>NM</t>
  </si>
  <si>
    <t>Normalized Net Income</t>
  </si>
  <si>
    <t>Interest Capitalized</t>
  </si>
  <si>
    <t>Non-Cash Pension Expense</t>
  </si>
  <si>
    <t>Filing Date</t>
  </si>
  <si>
    <t>Restatement Type</t>
  </si>
  <si>
    <t>RC</t>
  </si>
  <si>
    <t>NC</t>
  </si>
  <si>
    <t>O</t>
  </si>
  <si>
    <t>Calculation Type</t>
  </si>
  <si>
    <t>REP</t>
  </si>
  <si>
    <t>Supplemental Operating Expense Items</t>
  </si>
  <si>
    <t>General and Administrative Exp.</t>
  </si>
  <si>
    <t>R&amp;D Exp.</t>
  </si>
  <si>
    <t>Net Rental Exp.</t>
  </si>
  <si>
    <t>Imputed Oper. Lease Interest Exp.</t>
  </si>
  <si>
    <t>Imputed Oper. Lease Depreciation</t>
  </si>
  <si>
    <t>Stock-Based Comp., G&amp;A Exp.</t>
  </si>
  <si>
    <t xml:space="preserve">  Stock-Based Comp., Total</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</si>
  <si>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</si>
  <si>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</si>
  <si>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Kimco Realty Corporation (NYSE:KIM) &gt; Financials &gt; Balance Sheet</t>
  </si>
  <si>
    <t>In Millions of the reported currency, except per share items.</t>
  </si>
  <si>
    <t>Template:</t>
  </si>
  <si>
    <t>Restatement:</t>
  </si>
  <si>
    <t>Period Type:</t>
  </si>
  <si>
    <t>Order:</t>
  </si>
  <si>
    <t>Currency:</t>
  </si>
  <si>
    <t>Conversion:</t>
  </si>
  <si>
    <t>Units:</t>
  </si>
  <si>
    <t>Decimals:</t>
  </si>
  <si>
    <t>Source:</t>
  </si>
  <si>
    <t>Balance Sheet</t>
  </si>
  <si>
    <t xml:space="preserve">Balance Sheet as of:
</t>
  </si>
  <si>
    <t>Reclassified
Dec-31-2019</t>
  </si>
  <si>
    <t>Reclassified
Dec-31-2020</t>
  </si>
  <si>
    <t>Reclassified
Dec-31-2021</t>
  </si>
  <si>
    <t>Reclassified
Dec-31-2022</t>
  </si>
  <si>
    <t>ASSETS</t>
  </si>
  <si>
    <t>Gross Property, Plant &amp; Equipment</t>
  </si>
  <si>
    <t>Accumulated Depreciation</t>
  </si>
  <si>
    <t xml:space="preserve">  Net Property, Plant &amp; Equipment</t>
  </si>
  <si>
    <t>Land Held For Development Or Sale</t>
  </si>
  <si>
    <t xml:space="preserve">  Total Real Estate Assets</t>
  </si>
  <si>
    <t>Cash And Equivalents</t>
  </si>
  <si>
    <t>Accounts Receivable</t>
  </si>
  <si>
    <t>Other Receivables</t>
  </si>
  <si>
    <t>Invest. in Debt and Equity Securities</t>
  </si>
  <si>
    <t>Goodwill</t>
  </si>
  <si>
    <t>Other Intangibles</t>
  </si>
  <si>
    <t>Mortgage Loans</t>
  </si>
  <si>
    <t>Other Current Assets</t>
  </si>
  <si>
    <t>Deferred Tax Assets, LT</t>
  </si>
  <si>
    <t>Deferred Charges, LT</t>
  </si>
  <si>
    <t>Other Long-Term Assets</t>
  </si>
  <si>
    <t>Total Assets</t>
  </si>
  <si>
    <t>LIABILITIES</t>
  </si>
  <si>
    <t>Curr. Port. of Leases</t>
  </si>
  <si>
    <t>Long-Term Debt</t>
  </si>
  <si>
    <t>Long-Term Leases</t>
  </si>
  <si>
    <t>Accounts Payable</t>
  </si>
  <si>
    <t>Other Current Liabilities</t>
  </si>
  <si>
    <t>Def. Tax Liability, Non-Curr.</t>
  </si>
  <si>
    <t>Other Non-Current Liabilities</t>
  </si>
  <si>
    <t xml:space="preserve">  Total Liabilities</t>
  </si>
  <si>
    <t>Pref. Stock, Redeemable</t>
  </si>
  <si>
    <t xml:space="preserve">  Total Pref. Equity</t>
  </si>
  <si>
    <t>Common Stock</t>
  </si>
  <si>
    <t>Additional Paid In Capital</t>
  </si>
  <si>
    <t>Retained Earnings</t>
  </si>
  <si>
    <t>Distributions In Excess Of Earnings</t>
  </si>
  <si>
    <t>Treasury Stock</t>
  </si>
  <si>
    <t>Comprehensive Inc. and Other</t>
  </si>
  <si>
    <t xml:space="preserve">  Total Common Equity</t>
  </si>
  <si>
    <t>Minority Interest</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</si>
  <si>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</si>
  <si>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</si>
  <si>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</si>
  <si>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</si>
  <si>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</si>
  <si>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</si>
  <si>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</si>
  <si>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</si>
  <si>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</si>
  <si>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 of Unfunded Proj. Benefit Obligation</t>
  </si>
  <si>
    <t>Debt Equivalent Oper. Leases</t>
  </si>
  <si>
    <t>Total Minority Interest</t>
  </si>
  <si>
    <t>Equity Method Investments</t>
  </si>
  <si>
    <t>Inventory Method</t>
  </si>
  <si>
    <t>Land</t>
  </si>
  <si>
    <t>Buildings</t>
  </si>
  <si>
    <t>Machinery</t>
  </si>
  <si>
    <t>Construction in Progress</t>
  </si>
  <si>
    <t>Leasehold Improvements</t>
  </si>
  <si>
    <t>Full Time Employees</t>
  </si>
  <si>
    <t>Accum. Allowance for Doubtful Accts</t>
  </si>
  <si>
    <t>RD</t>
  </si>
  <si>
    <t>RUP</t>
  </si>
  <si>
    <t>Note: For multiple class companies, total share counts are primary class equivalent, and for foreign companies listed as primary ADRs, total share counts are ADR-equivalent.</t>
  </si>
  <si>
    <t>Kimco Realty Corporation (NYSE:KIM) &gt; Financials &gt; Cash Flow</t>
  </si>
  <si>
    <t>In Millions of the reported currency, except per share items.</t>
  </si>
  <si>
    <t>Template:</t>
  </si>
  <si>
    <t>Restatement:</t>
  </si>
  <si>
    <t>Period Type:</t>
  </si>
  <si>
    <t>Order:</t>
  </si>
  <si>
    <t>Currency:</t>
  </si>
  <si>
    <t>Conversion:</t>
  </si>
  <si>
    <t>Units:</t>
  </si>
  <si>
    <t>Decimals:</t>
  </si>
  <si>
    <t>Source:</t>
  </si>
  <si>
    <t>Cash Flow</t>
  </si>
  <si>
    <t>12 months
Dec-31-2018</t>
  </si>
  <si>
    <t>12 months
Dec-31-2019</t>
  </si>
  <si>
    <t>12 months
Dec-31-2021</t>
  </si>
  <si>
    <t>Depreciation &amp; Amort., Total</t>
  </si>
  <si>
    <t>Other Amortization</t>
  </si>
  <si>
    <t>(Gain) Loss On Sale of Assets</t>
  </si>
  <si>
    <t>(Gain) Loss On Sale Of Invest.</t>
  </si>
  <si>
    <t>Total Asset Writedown</t>
  </si>
  <si>
    <t>(Income) Loss on Equity Invest.</t>
  </si>
  <si>
    <t>Stock-Based Compensation</t>
  </si>
  <si>
    <t>Change in Acc. Receiv.</t>
  </si>
  <si>
    <t>Change in Acc. Payable</t>
  </si>
  <si>
    <t>Change in Other Net Operating Assets</t>
  </si>
  <si>
    <t>Other Operating Activities</t>
  </si>
  <si>
    <t xml:space="preserve">  Cash from Ops.</t>
  </si>
  <si>
    <t>Acquisition of Real Estate Assets</t>
  </si>
  <si>
    <t>Sale of Real Estate Assets</t>
  </si>
  <si>
    <t>Net Sale/Acq. of Real Estate Assets</t>
  </si>
  <si>
    <t>Cash Acquisitions</t>
  </si>
  <si>
    <t>Divestitures</t>
  </si>
  <si>
    <t>Net Cash from Investments</t>
  </si>
  <si>
    <t>Net (Increase)/Decrease in Loans Orig/Sold</t>
  </si>
  <si>
    <t>Deferred Charges</t>
  </si>
  <si>
    <t>Total 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</si>
  <si>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</si>
  <si>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</si>
  <si>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</si>
  <si>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</si>
  <si>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</si>
  <si>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</si>
  <si>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</si>
  <si>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</si>
  <si>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</si>
  <si>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Issuance of Pref. Stock</t>
  </si>
  <si>
    <t>Repurchase of Preferred Stock</t>
  </si>
  <si>
    <t>Common and/or Pref. Dividends Paid</t>
  </si>
  <si>
    <t>Total Dividends Paid</t>
  </si>
  <si>
    <t>Other Financing Activities</t>
  </si>
  <si>
    <t xml:space="preserve">  Cash from Financing</t>
  </si>
  <si>
    <t xml:space="preserve">  Net Change in Cash</t>
  </si>
  <si>
    <t>Cash Interest Paid</t>
  </si>
  <si>
    <t>Cash Taxes Paid</t>
  </si>
  <si>
    <t>Net Debt Issued</t>
  </si>
  <si>
    <t>Levered Free Cash Flow</t>
  </si>
  <si>
    <t>Unlevered Free Cash Flow</t>
  </si>
  <si>
    <t>Change In Net Working Capital</t>
  </si>
  <si>
    <t>Kimco Realty Corporation (NYSE:KIM) &gt; Financials &gt; Multiples</t>
  </si>
  <si>
    <t>View:</t>
  </si>
  <si>
    <t>Data</t>
  </si>
  <si>
    <t>Frequency:</t>
  </si>
  <si>
    <t>Quarterly</t>
  </si>
  <si>
    <t>Order:</t>
  </si>
  <si>
    <t>Decimals:</t>
  </si>
  <si>
    <t>Dilution:</t>
  </si>
  <si>
    <t>Multiples Detail
                     In Millions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</si>
  <si>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</si>
  <si>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</si>
  <si>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</si>
  <si>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</si>
  <si>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</si>
  <si>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</si>
  <si>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</si>
  <si>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</si>
  <si>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</si>
  <si>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</si>
  <si>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</si>
  <si>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</si>
  <si>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</si>
  <si>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</si>
  <si>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P/Tangible BV</t>
  </si>
  <si>
    <t>P/NTM CFPS</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</si>
  <si>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</si>
  <si>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</si>
  <si>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</si>
  <si>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</si>
  <si>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</si>
  <si>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Kimco Realty Corporation (NYSE:KIM) &gt; Financials &gt; Historical Capitalization</t>
  </si>
  <si>
    <t>In Millions of the trading currency, except per share items.</t>
  </si>
  <si>
    <t>Frequency:</t>
  </si>
  <si>
    <t>Order:</t>
  </si>
  <si>
    <t>Currency:</t>
  </si>
  <si>
    <t>Conversion:</t>
  </si>
  <si>
    <t>Units:</t>
  </si>
  <si>
    <t>Decimals:</t>
  </si>
  <si>
    <t>Dilution:</t>
  </si>
  <si>
    <t>Historical Capitalization</t>
  </si>
  <si>
    <t>Pricing as of*</t>
  </si>
  <si>
    <t>Capitalization Detail</t>
  </si>
  <si>
    <t>Implied Shares Outstanding***</t>
  </si>
  <si>
    <t>Implied Market Capitalization***</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</si>
  <si>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</si>
  <si>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</si>
  <si>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 Includes number of shares outstanding + shares held by non-controlling interest holders without accounting for dilutive securities.</t>
  </si>
  <si>
    <t>Kimco Realty Corporation (NYSE:KIM) &gt; Financials &gt; Capital Structure Summary</t>
  </si>
  <si>
    <t>In Millions of the reported currency, except ratios and % of Total values.</t>
  </si>
  <si>
    <t>Restatement:</t>
  </si>
  <si>
    <t>Period Type:</t>
  </si>
  <si>
    <t>Currency:</t>
  </si>
  <si>
    <t>Conversion:</t>
  </si>
  <si>
    <t>Units:</t>
  </si>
  <si>
    <t>Decimals:</t>
  </si>
  <si>
    <t>Order:</t>
  </si>
  <si>
    <t>Capital Structure Data</t>
  </si>
  <si>
    <t xml:space="preserve"> For the Fiscal Period Ending
</t>
  </si>
  <si>
    <t xml:space="preserve"> 12 months Dec-31-2021</t>
  </si>
  <si>
    <t xml:space="preserve"> 12 months Dec-31-2022</t>
  </si>
  <si>
    <t xml:space="preserve"> 12 months Dec-31-2023</t>
  </si>
  <si>
    <t xml:space="preserve"> Currency</t>
  </si>
  <si>
    <t xml:space="preserve"> USD</t>
  </si>
  <si>
    <t xml:space="preserve"> Units</t>
  </si>
  <si>
    <t xml:space="preserve"> Millions</t>
  </si>
  <si>
    <t>% of Total</t>
  </si>
  <si>
    <t>Total Common Equity</t>
  </si>
  <si>
    <t>Total Preferred Equity</t>
  </si>
  <si>
    <t xml:space="preserve">  Total Capital</t>
  </si>
  <si>
    <t>Debt Summary Data</t>
  </si>
  <si>
    <t>Total Revolving Credit</t>
  </si>
  <si>
    <t>Total Senior Bonds and Notes</t>
  </si>
  <si>
    <t>Total Lease Liabilities</t>
  </si>
  <si>
    <t xml:space="preserve">  Total Principal Due</t>
  </si>
  <si>
    <t>Total Adjustments</t>
  </si>
  <si>
    <t xml:space="preserve">  Total Debt Outstanding</t>
  </si>
  <si>
    <t>Available Credit</t>
  </si>
  <si>
    <t>Undrawn Revolving Credit</t>
  </si>
  <si>
    <t xml:space="preserve">  Total Undrawn Credit</t>
  </si>
  <si>
    <t>Additional Totals</t>
  </si>
  <si>
    <t>Total Cash &amp; ST Investments</t>
  </si>
  <si>
    <t>Total Senior Debt</t>
  </si>
  <si>
    <t>Curr. Port. of LT Debt/Cap. Leases</t>
  </si>
  <si>
    <t>Long-Term Debt (Incl. Cap. Leases)</t>
  </si>
  <si>
    <t>Total Bank Debt</t>
  </si>
  <si>
    <t>Total Secured Debt</t>
  </si>
  <si>
    <t>Senior Secured Bonds and Notes</t>
  </si>
  <si>
    <t>Total Senior Secured Debt</t>
  </si>
  <si>
    <t>Total Unsecured Debt</t>
  </si>
  <si>
    <t>Senior Unsecured Bonds and Notes</t>
  </si>
  <si>
    <t>Fixed Rate Debt</t>
  </si>
  <si>
    <t>Variable Rate Debt</t>
  </si>
  <si>
    <t>Hedging Activities</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</si>
  <si>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</si>
  <si>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</si>
  <si>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</si>
  <si>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</si>
  <si>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</si>
  <si>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</si>
  <si>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</si>
  <si>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</si>
  <si>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</si>
  <si>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Fixed Payment Schedule</t>
  </si>
  <si>
    <t>LT Debt (Incl. Cap. Leases) Due +1</t>
  </si>
  <si>
    <t>LT Debt (Incl. Cap. Leases) Due +2</t>
  </si>
  <si>
    <t>LT Debt (Incl. Cap. Leases) Due +3</t>
  </si>
  <si>
    <t>LT Debt (Incl. Cap. Leases) Due +4</t>
  </si>
  <si>
    <t>LT Debt (Incl. Cap. Leases) Due +5</t>
  </si>
  <si>
    <t>LT Debt (Incl. Cap. Leases) Due, Next 5 Yrs</t>
  </si>
  <si>
    <t>LT Debt (Incl. Cap. Leases) Due, After 5 Yrs</t>
  </si>
  <si>
    <t>Cap. Lease Payment Due +1</t>
  </si>
  <si>
    <t>Cap. Lease Payment Due +2</t>
  </si>
  <si>
    <t>Cap. Lease Payment Due, Next 5 Yrs</t>
  </si>
  <si>
    <t>Cap. Lease Payment Due (incl. Interest) +1</t>
  </si>
  <si>
    <t>Operating Lease Commitment Due +1</t>
  </si>
  <si>
    <t>Operating Lease Commitment Due +2</t>
  </si>
  <si>
    <t>Operating Lease Commitment Due +3</t>
  </si>
  <si>
    <t>Operating Lease Commitment Due +4</t>
  </si>
  <si>
    <t>Operating Lease Commitment Due +5</t>
  </si>
  <si>
    <t>Operating Lease Commitment Due, Next 5 Yrs</t>
  </si>
  <si>
    <t>Operating Lease Commitment Due, After 5 Yrs</t>
  </si>
  <si>
    <t>Contractual Obligations Due +1</t>
  </si>
  <si>
    <t>Contractual Obligations Due + 2</t>
  </si>
  <si>
    <t>Contractual Obligations Due + 3</t>
  </si>
  <si>
    <t>Contractual Obligations Due + 4</t>
  </si>
  <si>
    <t>Contractual Obligations Due + 5</t>
  </si>
  <si>
    <t>Contractual Obligations Due, Next 5 Yrs</t>
  </si>
  <si>
    <t>Contractual Obligations Due, After 5 Yrs</t>
  </si>
  <si>
    <t>Total Contractual Obligations</t>
  </si>
  <si>
    <t>Interest Rate Data</t>
  </si>
  <si>
    <t>W/Avg. Interest Rate - Long-term Debt</t>
  </si>
  <si>
    <t>Kimco Realty Corporation (NYSE:KIM) &gt; Financials &gt; Capital Structure Details</t>
  </si>
  <si>
    <t>Principal Due in Millions of the reported currency.</t>
  </si>
  <si>
    <t>Period Type:</t>
  </si>
  <si>
    <t>Source:</t>
  </si>
  <si>
    <t>A 2023 filed Feb-26-2024</t>
  </si>
  <si>
    <t>Currency:</t>
  </si>
  <si>
    <t>Conversion:</t>
  </si>
  <si>
    <t>Units:</t>
  </si>
  <si>
    <t>Decimals:</t>
  </si>
  <si>
    <t>FY 2023 (Dec-31-2023) Capital Structure As Reported Details</t>
  </si>
  <si>
    <t>Description</t>
  </si>
  <si>
    <t>Type</t>
  </si>
  <si>
    <t>Principal Due (USD)</t>
  </si>
  <si>
    <t>Coupon/Base Rate</t>
  </si>
  <si>
    <t>Floating Rate</t>
  </si>
  <si>
    <t>Maturity</t>
  </si>
  <si>
    <t>Seniority</t>
  </si>
  <si>
    <t>Secured</t>
  </si>
  <si>
    <t>Convertible</t>
  </si>
  <si>
    <t>Repayment Currency</t>
  </si>
  <si>
    <t>2.25% Senior Unsecured Notes Due in 2031 *</t>
  </si>
  <si>
    <t>Bonds and Notes</t>
  </si>
  <si>
    <t>2.250%</t>
  </si>
  <si>
    <t>Senior</t>
  </si>
  <si>
    <t>No</t>
  </si>
  <si>
    <t>3.20% Unsecured Notes Due 2032</t>
  </si>
  <si>
    <t>3.200%</t>
  </si>
  <si>
    <t>4.60% Senior Unsecured Notes Due 2033</t>
  </si>
  <si>
    <t>4.600%</t>
  </si>
  <si>
    <t>6.40% Unsecured Notes Maturing March 2034</t>
  </si>
  <si>
    <t>6.400%</t>
  </si>
  <si>
    <t>Financing Leases</t>
  </si>
  <si>
    <t>Capital Lease</t>
  </si>
  <si>
    <t>6.000%</t>
  </si>
  <si>
    <t>Yes</t>
  </si>
  <si>
    <t>Mortgages Payable - Note</t>
  </si>
  <si>
    <t>3.330% - 7.230%</t>
  </si>
  <si>
    <t>New Unsecured Revolving Credit Facility</t>
  </si>
  <si>
    <t>Revolving Credit</t>
  </si>
  <si>
    <t>6.210%</t>
  </si>
  <si>
    <t>SOFR + 0.755%</t>
  </si>
  <si>
    <t>Operating Lease Liabilities</t>
  </si>
  <si>
    <t>6.650%</t>
  </si>
  <si>
    <t>Senior Unsecured Notes *</t>
  </si>
  <si>
    <t>3.250% - 6.880%</t>
  </si>
  <si>
    <t>10-2022 - 2028</t>
  </si>
  <si>
    <t>Senior Unsecured Notes</t>
  </si>
  <si>
    <t>3.640% - 4.740%</t>
  </si>
  <si>
    <t>2026 - 2031</t>
  </si>
  <si>
    <t>Unsecured 2.700% Notes Due 2030 *</t>
  </si>
  <si>
    <t>2.700%</t>
  </si>
  <si>
    <t>FY 2022 (Dec-31-2022) Capital Structure As Reported Details</t>
  </si>
  <si>
    <t>Unsecured Revolving Credit Facility</t>
  </si>
  <si>
    <t>5.210%</t>
  </si>
  <si>
    <t>Kimco Realty Corporation (NYSE:KIM) &gt; Financials &gt; Ratios</t>
  </si>
  <si>
    <t>Restatement:</t>
  </si>
  <si>
    <t>Period Type:</t>
  </si>
  <si>
    <t>Order:</t>
  </si>
  <si>
    <t>Decimals:</t>
  </si>
  <si>
    <t>Source:</t>
  </si>
  <si>
    <t>Ratios</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</si>
  <si>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</si>
  <si>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</si>
  <si>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</si>
  <si>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</si>
  <si>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</si>
  <si>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</si>
  <si>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</si>
  <si>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</si>
  <si>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</si>
  <si>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</si>
  <si>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</si>
  <si>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</si>
  <si>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</si>
  <si>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</si>
  <si>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</si>
  <si>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</si>
  <si>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</si>
  <si>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</si>
  <si>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</si>
  <si>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</si>
  <si>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</si>
  <si>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</si>
  <si>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</si>
  <si>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</si>
  <si>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</si>
  <si>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</si>
  <si>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</si>
  <si>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</si>
  <si>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</si>
  <si>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</si>
  <si>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</si>
  <si>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</si>
  <si>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</si>
  <si>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</si>
  <si>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</si>
  <si>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</si>
  <si>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</si>
  <si>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</si>
  <si>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</si>
  <si>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</si>
  <si>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</si>
  <si>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</si>
  <si>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</si>
  <si>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Growth Over Prior Year</t>
  </si>
  <si>
    <t xml:space="preserve">  Gross Profit</t>
  </si>
  <si>
    <t xml:space="preserve">  EBITDA</t>
  </si>
  <si>
    <t xml:space="preserve">  EBITA</t>
  </si>
  <si>
    <t xml:space="preserve">  EBIT</t>
  </si>
  <si>
    <t xml:space="preserve">  Diluted EPS before Extra</t>
  </si>
  <si>
    <t xml:space="preserve">  Normalized Net Income</t>
  </si>
  <si>
    <t xml:space="preserve">  Net PP&amp;E</t>
  </si>
  <si>
    <t xml:space="preserve">  Inventory</t>
  </si>
  <si>
    <t xml:space="preserve">  Accounts Receivable</t>
  </si>
  <si>
    <t xml:space="preserve">  Total Assets</t>
  </si>
  <si>
    <t xml:space="preserve">  Common Equity</t>
  </si>
  <si>
    <t xml:space="preserve">  Tangible Book Value</t>
  </si>
  <si>
    <t xml:space="preserve">  Capital Expenditures</t>
  </si>
  <si>
    <t xml:space="preserve">  Levered Free Cash Flow</t>
  </si>
  <si>
    <t xml:space="preserve">  Unlevered Free Cash Flow</t>
  </si>
  <si>
    <t xml:space="preserve">  Dividend per Share</t>
  </si>
  <si>
    <t>Compound Annual Growth Rate Over Two Years</t>
  </si>
  <si>
    <t>Compound Annual Growth Rate Over Three Years</t>
  </si>
  <si>
    <t>Compound Annual Growth Rate Over Five Years</t>
  </si>
  <si>
    <t>Kimco Realty Corporation (NYSE:KIM) &gt; Financials &gt; Supplemental</t>
  </si>
  <si>
    <t>In Millions of the reported currency, except per share items.</t>
  </si>
  <si>
    <t>Restatement:</t>
  </si>
  <si>
    <t>Period Type:</t>
  </si>
  <si>
    <t>Currency:</t>
  </si>
  <si>
    <t>Conversion:</t>
  </si>
  <si>
    <t>Order:</t>
  </si>
  <si>
    <t>Units:</t>
  </si>
  <si>
    <t>Decimals:</t>
  </si>
  <si>
    <t>Source:</t>
  </si>
  <si>
    <t>Supplemental</t>
  </si>
  <si>
    <t>Options Outstanding</t>
  </si>
  <si>
    <t>Options Out. at the Beginning of the Period</t>
  </si>
  <si>
    <t>Options Exercised During the Period</t>
  </si>
  <si>
    <t>Options Cancelled During the Period</t>
  </si>
  <si>
    <t>Options Out. at the End of the Period</t>
  </si>
  <si>
    <t>W/Avg. Strike Price of Out. at the End of the Period</t>
  </si>
  <si>
    <t>Options Outstanding - All Classes</t>
  </si>
  <si>
    <t>Stock Based Compensation</t>
  </si>
  <si>
    <t>Stock Based Comp. Exp., Before Tax</t>
  </si>
  <si>
    <t>Loss Carry Forward Related Items</t>
  </si>
  <si>
    <t>Max. Year for NOL C/F</t>
  </si>
  <si>
    <t>Tax Benefit C/F, After Five Years</t>
  </si>
  <si>
    <t>Tax Benefit C/F, No Expiration</t>
  </si>
  <si>
    <t>Total Tax Benefit C/F</t>
  </si>
  <si>
    <t>Max. Year for Tax Benefit C/F</t>
  </si>
  <si>
    <t>Capitalized Interest Data</t>
  </si>
  <si>
    <t>Fair Value Measurements</t>
  </si>
  <si>
    <t>Level 1 Assets - Quoted Prices</t>
  </si>
  <si>
    <t>Level 3 Assets - Unobservable Prices</t>
  </si>
  <si>
    <t>Fair Value of Assets</t>
  </si>
  <si>
    <t>Level 2 Liabilities - Observable Prices</t>
  </si>
  <si>
    <t>Level 3 Liabilities - Unobservable Prices</t>
  </si>
  <si>
    <t>Fair Value of Liabilities</t>
  </si>
  <si>
    <t>Fair Value Change Included in Earnings</t>
  </si>
  <si>
    <t>Kimco Realty Corporation (NYSE:KIM) &gt; Financials &gt; Industry Specific</t>
  </si>
  <si>
    <t>In Millions of the reported currency, except per share items.</t>
  </si>
  <si>
    <t>Restatement:</t>
  </si>
  <si>
    <t>Period Type:</t>
  </si>
  <si>
    <t>Currency:</t>
  </si>
  <si>
    <t>Conversion:</t>
  </si>
  <si>
    <t>Order:</t>
  </si>
  <si>
    <t>Units:</t>
  </si>
  <si>
    <t>Decimals:</t>
  </si>
  <si>
    <t>Source:</t>
  </si>
  <si>
    <t>Industry Specific</t>
  </si>
  <si>
    <t xml:space="preserve">Reconciliation to FFO/AFFO/FAD </t>
  </si>
  <si>
    <t>Depreciation and Amortization</t>
  </si>
  <si>
    <t>Gain or Loss on Sale of Assets</t>
  </si>
  <si>
    <t>Other Items</t>
  </si>
  <si>
    <t>FFO (Diluted)</t>
  </si>
  <si>
    <t>AFFO</t>
  </si>
  <si>
    <t>Funds Available for Distribution</t>
  </si>
  <si>
    <t>Total Rental Revenue</t>
  </si>
  <si>
    <t>Operating Revenue</t>
  </si>
  <si>
    <t>Property Management Income</t>
  </si>
  <si>
    <t>Total Operating Revenue</t>
  </si>
  <si>
    <t>Rental Expenses</t>
  </si>
  <si>
    <t>Repairs and Maintenance</t>
  </si>
  <si>
    <t>Property Tax and Insurance</t>
  </si>
  <si>
    <t>Real Estate Rental Expense</t>
  </si>
  <si>
    <t>Property Operating Expense</t>
  </si>
  <si>
    <t>Non-Rental Expenses</t>
  </si>
  <si>
    <t>Other Property Operating Expenses</t>
  </si>
  <si>
    <t>Real Estate Depreciation</t>
  </si>
  <si>
    <t>Non-Rental Operating Expenses</t>
  </si>
  <si>
    <t>Total Operating Expenses</t>
  </si>
  <si>
    <t>Property / Rental Revenue Ratios</t>
  </si>
  <si>
    <t>Rents / Average Properties %</t>
  </si>
  <si>
    <t>Total RE NOI / Average Gross Properties %</t>
  </si>
  <si>
    <t>FFO / Total Revenue %</t>
  </si>
  <si>
    <t>Real Estate Assets</t>
  </si>
  <si>
    <t>Investment Properties</t>
  </si>
  <si>
    <t>Development Properties</t>
  </si>
  <si>
    <t>Total</t>
  </si>
  <si>
    <t>Properties Data</t>
  </si>
  <si>
    <t>Consolidated Properties - Operational</t>
  </si>
  <si>
    <t>Consolidated Properties - Total</t>
  </si>
  <si>
    <t>Unconsolidated Properties</t>
  </si>
  <si>
    <t>Total Properties</t>
  </si>
  <si>
    <t>Property Statistics</t>
  </si>
  <si>
    <t>GLA (Sq. Ft.) - Consolidated</t>
  </si>
  <si>
    <t>GLA (Sq. Ft.) - Unconsolidated</t>
  </si>
  <si>
    <t>GLA (Sq. Ft.) - Total</t>
  </si>
  <si>
    <t>GLA (Sq. Meters) - Consolidated</t>
  </si>
  <si>
    <t>GLA (Sq. Meters) - Unconsolidated</t>
  </si>
  <si>
    <t>GLA (Sq. Meters) - Total</t>
  </si>
  <si>
    <t>GLA Percent Leased - Consolidated</t>
  </si>
  <si>
    <t>Occupancy Rate - Consolidated</t>
  </si>
  <si>
    <t>Partnership Information</t>
  </si>
  <si>
    <t>Investment in Partnerships</t>
  </si>
  <si>
    <t>Share in Partnership NOI</t>
  </si>
  <si>
    <t>Share in Partnership Depreciation</t>
  </si>
  <si>
    <t>Lease Information</t>
  </si>
  <si>
    <t>Lease Payment Receivable +1</t>
  </si>
  <si>
    <t>Lease Payment Receivable +2</t>
  </si>
  <si>
    <t>Lease Payment Receivable +3</t>
  </si>
  <si>
    <t>Lease Payment Receivable +4</t>
  </si>
  <si>
    <t>Lease Payment Receivable +5</t>
  </si>
  <si>
    <t>Lease Payment Receivable, Next 5 Yrs</t>
  </si>
  <si>
    <t>Lease Payment Receivable. After 5 Yrs</t>
  </si>
  <si>
    <t>Lease Payment Receivable, Total</t>
  </si>
  <si>
    <t>Base Rent from Operating Leases Expiring +1</t>
  </si>
  <si>
    <t>Base Rent from Operating Leases Expiring +2</t>
  </si>
  <si>
    <t>Base Rent from Operating Leases Expiring +3</t>
  </si>
  <si>
    <t>Base Rent from Operating Leases Expiring +4</t>
  </si>
  <si>
    <t>Base Rent from Operating Leases Expiring +5</t>
  </si>
  <si>
    <t>Base Rent from Operating Leases Expiring, Next 5 Yrs</t>
  </si>
  <si>
    <t>Base Rent from Operating Leases Expiring, After 5 Yrs</t>
  </si>
  <si>
    <t>Base Rent from Operating Leases Expiring, Total</t>
  </si>
  <si>
    <t>Operating Income Data</t>
  </si>
  <si>
    <t xml:space="preserve">NOI </t>
  </si>
  <si>
    <t xml:space="preserve">Same Property NOI </t>
  </si>
  <si>
    <t>Same Property NOI Growth</t>
  </si>
  <si>
    <t>FFO per Share (Basic)</t>
  </si>
  <si>
    <t>FFO Shares (Basic)</t>
  </si>
  <si>
    <t>FFO per Share (Diluted)</t>
  </si>
  <si>
    <t>FFO Shares (Diluted)</t>
  </si>
  <si>
    <t>AFFO per Share (Basic)</t>
  </si>
  <si>
    <t>AFFO per Share (Diluted)</t>
  </si>
  <si>
    <t>Kimco Realty Corporation (NYSE:KIM) &gt; Financials &gt; Pension/OPEB</t>
  </si>
  <si>
    <t>In Millions of the reported currency, except per share items.</t>
  </si>
  <si>
    <t>Restatement:</t>
  </si>
  <si>
    <t>Period Type:</t>
  </si>
  <si>
    <t>Currency:</t>
  </si>
  <si>
    <t>Conversion:</t>
  </si>
  <si>
    <t>Order:</t>
  </si>
  <si>
    <t>Units:</t>
  </si>
  <si>
    <t>Decimals:</t>
  </si>
  <si>
    <t>Source:</t>
  </si>
  <si>
    <t>Pension/OPEB</t>
  </si>
  <si>
    <t>Pension Information - Total</t>
  </si>
  <si>
    <t>Defined Benefit Net Periodic Cost</t>
  </si>
  <si>
    <t>Def. Benefit Plan Interest Cost</t>
  </si>
  <si>
    <t>Def. Benefit Plan Return on Assets</t>
  </si>
  <si>
    <t>Def. Benefit Plan Total Cost</t>
  </si>
  <si>
    <t>Def. Contribution Plan Cost</t>
  </si>
  <si>
    <t>Total Pension Expense</t>
  </si>
  <si>
    <t>Defined Benefit Obligation</t>
  </si>
  <si>
    <t>Beg. Def. Benefit Obligation</t>
  </si>
  <si>
    <t>Def. Benefit Interest Cost</t>
  </si>
  <si>
    <t>Def. Benefit Actuarial Gain/Losses</t>
  </si>
  <si>
    <t xml:space="preserve">Def. Benefits Paid </t>
  </si>
  <si>
    <t>Acq. Benefit Obligation</t>
  </si>
  <si>
    <t>Def. Benefit Settlement/Curtailment</t>
  </si>
  <si>
    <t>Proj. Benefit Obligation (Pension)</t>
  </si>
  <si>
    <t>Accum. Benefit Obligation</t>
  </si>
  <si>
    <t>Plan Assets</t>
  </si>
  <si>
    <t>Beg. Plan Assets</t>
  </si>
  <si>
    <t>Actual Return on Plan Assets</t>
  </si>
  <si>
    <t>Benefits Paid</t>
  </si>
  <si>
    <t>Acquired Plan Assets</t>
  </si>
  <si>
    <t>Plan Settlement/Curtailment</t>
  </si>
  <si>
    <t>Total Plan Assets</t>
  </si>
  <si>
    <t>Breakdown of Plan Assets</t>
  </si>
  <si>
    <t>Plan Assets - Equities (%)</t>
  </si>
  <si>
    <t>Plan Assets - Fixed Income (%)</t>
  </si>
  <si>
    <t>Plan Assets - Equities</t>
  </si>
  <si>
    <t>Plan Assets - Fixed Income</t>
  </si>
  <si>
    <t>Weighted Avg. Assumptions on Def. Benefit Obligation</t>
  </si>
  <si>
    <t>PBO Assumed Rate of Return - Min</t>
  </si>
  <si>
    <t>PBO Assumed Rate of Return - Max</t>
  </si>
  <si>
    <t>Estimated Future Benefits Paid</t>
  </si>
  <si>
    <t>Est. Future Benefits Paid - 1st Yr</t>
  </si>
  <si>
    <t>Est. Future Benefits Paid - 2nd Yr</t>
  </si>
  <si>
    <t>Est. Future Benefits Paid - 3rd Yr</t>
  </si>
  <si>
    <t>Est. Future Benefits Paid - 4th Yr</t>
  </si>
  <si>
    <t>Est. Future Benefits Paid - 5th Yr</t>
  </si>
  <si>
    <t>Est. Future Benefits Paid - Thereafter</t>
  </si>
  <si>
    <t>Adj. for Liability Recognized on Balance Sheet</t>
  </si>
  <si>
    <t>Net Asset/Liability Recognized on Balance Sheet</t>
  </si>
  <si>
    <t>Other Compr. Income Components Recognized on the BS</t>
  </si>
  <si>
    <t>Net Actuarial Loss/Gain</t>
  </si>
  <si>
    <t>Net Amount Recognized</t>
  </si>
  <si>
    <t>Consolidated Balance Sheet Amounts</t>
  </si>
  <si>
    <t>Long Term Assets</t>
  </si>
  <si>
    <t>Pension Information - Domestic</t>
  </si>
  <si>
    <t xml:space="preserve">Def. Benefit Interest Cost </t>
  </si>
  <si>
    <t xml:space="preserve">Def. Benefit Return On Assets </t>
  </si>
  <si>
    <t xml:space="preserve">Def. Benefit Other Cost </t>
  </si>
  <si>
    <t xml:space="preserve">Def. Benefit Total Cost </t>
  </si>
  <si>
    <t xml:space="preserve">Beg. Def. Benefit Obligation </t>
  </si>
  <si>
    <t xml:space="preserve">Def. Benefit Actuarial Gain/Losses </t>
  </si>
  <si>
    <t xml:space="preserve">Acq. Benefit Obligation </t>
  </si>
  <si>
    <t xml:space="preserve">Def. Benefit Settlement/Curtailment </t>
  </si>
  <si>
    <t>Proj. Benefit Obligation (Pension) - Domestic</t>
  </si>
  <si>
    <t xml:space="preserve">Beg. Plan Assets </t>
  </si>
  <si>
    <t xml:space="preserve">Actual Return on Plan Assets </t>
  </si>
  <si>
    <t xml:space="preserve">Benefits Paid </t>
  </si>
  <si>
    <t xml:space="preserve">Acquired Plan Assets </t>
  </si>
  <si>
    <t xml:space="preserve">Plan Settlement/Curtailment </t>
  </si>
  <si>
    <t xml:space="preserve">Total Plan Assets </t>
  </si>
  <si>
    <t xml:space="preserve">Plan Assets - Equities </t>
  </si>
  <si>
    <t xml:space="preserve">Plan Assets - Fixed Income </t>
  </si>
  <si>
    <t xml:space="preserve">PBO Assumed Rate of Return - Min </t>
  </si>
  <si>
    <t xml:space="preserve">PBO Assumed Rate of Return - Max </t>
  </si>
  <si>
    <t xml:space="preserve">Est. Future Benefits Paid - 1st Yr </t>
  </si>
  <si>
    <t xml:space="preserve">Est. Future Benefits Paid - 2nd Yr </t>
  </si>
  <si>
    <t xml:space="preserve">Est. Future Benefits Paid - 3rd Yr </t>
  </si>
  <si>
    <t xml:space="preserve">Est. Future Benefits Paid - 4th Yr </t>
  </si>
  <si>
    <t xml:space="preserve">Est. Future Benefits Paid - 5th Yr </t>
  </si>
  <si>
    <t xml:space="preserve">Est. Future Benefits Paid - Thereafter </t>
  </si>
  <si>
    <t xml:space="preserve">Net Asset/Liability Recognized on Balance Sheet </t>
  </si>
  <si>
    <t>Kimco Realty Corporation (NYSE:KIM) &gt; Financials &gt; Segments</t>
  </si>
  <si>
    <t>In Millions of the reported currency.</t>
  </si>
  <si>
    <t>View By:</t>
  </si>
  <si>
    <t>Line Items</t>
  </si>
  <si>
    <t>Restatement:</t>
  </si>
  <si>
    <t>Period Type:</t>
  </si>
  <si>
    <t>Order:</t>
  </si>
  <si>
    <t>Currency:</t>
  </si>
  <si>
    <t>Conversion:</t>
  </si>
  <si>
    <t>Units:</t>
  </si>
  <si>
    <t>Decimals:</t>
  </si>
  <si>
    <t>Business Segments</t>
  </si>
  <si>
    <t>Revenues</t>
  </si>
  <si>
    <t>REIT - Commercial</t>
  </si>
  <si>
    <t xml:space="preserve">  Total Revenues</t>
  </si>
  <si>
    <t>Operating Profit Before Tax</t>
  </si>
  <si>
    <t xml:space="preserve">  Total Operating Profit Before Tax</t>
  </si>
  <si>
    <t>Interest Expense</t>
  </si>
  <si>
    <t xml:space="preserve">  Total Interest Expense</t>
  </si>
  <si>
    <t>Net Profit Before Tax</t>
  </si>
  <si>
    <t xml:space="preserve">  Total Net Profit Before Tax</t>
  </si>
  <si>
    <t>Tax Expense</t>
  </si>
  <si>
    <t xml:space="preserve">  Total Tax Expense</t>
  </si>
  <si>
    <t>Net Profit After Tax</t>
  </si>
  <si>
    <t xml:space="preserve">  Total Net Profit After Tax</t>
  </si>
  <si>
    <t>Assets</t>
  </si>
  <si>
    <t>Depreciation &amp; Amortization</t>
  </si>
  <si>
    <t xml:space="preserve">  Total Depreciation &amp; Amortization</t>
  </si>
  <si>
    <t>Capital Expenditure</t>
  </si>
  <si>
    <t xml:space="preserve">  Total Capital Expenditure</t>
  </si>
  <si>
    <t>SG&amp;A</t>
  </si>
  <si>
    <t>D&amp;A</t>
  </si>
  <si>
    <t>Property Expense</t>
  </si>
  <si>
    <t>Discounted Cash Flow Model</t>
  </si>
  <si>
    <t>Historical Period</t>
  </si>
  <si>
    <t>Projection Period</t>
  </si>
  <si>
    <t>as of 3/27/24</t>
  </si>
  <si>
    <t>USD in Millions</t>
  </si>
  <si>
    <t>2024E</t>
  </si>
  <si>
    <t>2025E</t>
  </si>
  <si>
    <t>2026E</t>
  </si>
  <si>
    <t>2027E</t>
  </si>
  <si>
    <t>2028E</t>
  </si>
  <si>
    <t>Revenue</t>
  </si>
  <si>
    <t>% Growth</t>
  </si>
  <si>
    <t>Cost Of Goods Sold</t>
  </si>
  <si>
    <t>% Margin</t>
  </si>
  <si>
    <t>Operating Expenses</t>
  </si>
  <si>
    <t>Tax Rates</t>
  </si>
  <si>
    <t>Tax Adjusted EBIT</t>
  </si>
  <si>
    <t>Plus: Depreciation &amp; Amortization</t>
  </si>
  <si>
    <t>% Net Sales</t>
  </si>
  <si>
    <t>Less: Capital Expenditures</t>
  </si>
  <si>
    <t>Less: Inc. (Dec.) in NWC</t>
  </si>
  <si>
    <t>as of 4/1/24</t>
  </si>
  <si>
    <t>Other Operating Exp. Pre</t>
  </si>
  <si>
    <t>Total Operating 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</si>
</sst>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4" formatCode="_(&quot;$&quot;* #,##0.00_);_(&quot;$&quot;* \(#,##0.00\);_(&quot;$&quot;* &quot;-&quot;??_);_(@_)"/>
    <numFmt numFmtId="164" formatCode="_(* #,##0.0_);_(* \(#,##0.0\)_)\ ;_(* 0_)"/>
    <numFmt numFmtId="165" formatCode="_(#,##0.0%_);_(\(#,##0.0%\)_);_(#,##0.0%_)"/>
    <numFmt numFmtId="166" formatCode="_(* #,##0.0#_);_(* \(#,##0.0#\)_)\ ;_(* 0_)"/>
    <numFmt numFmtId="167" formatCode="_(#,##0.00%_);_(\(#,##0.00%\)_);_(#,##0.00%_)"/>
    <numFmt numFmtId="168" formatCode="_(&quot;$&quot;#,##0.0#_);_(\(&quot;$&quot;#,##0.0#\)_);_(&quot;$&quot;&quot; - &quot;_)"/>
    <numFmt numFmtId="169" formatCode="#,##0.0\x"/>
    <numFmt numFmtId="170" formatCode="#,##0.00\x"/>
    <numFmt numFmtId="171" formatCode="_(* #,##0.0##_);_(* \(#,##0.0##\)_)\ ;_(* 0_)"/>
    <numFmt numFmtId="172" formatCode="mmm\-dd\-yyyy"/>
    <numFmt numFmtId="173" formatCode="_(* #,##0_);_(* \(#,##0\)_)\ ;_(* 0_)"/>
    <numFmt numFmtId="174" formatCode="_(\ #,##0.0_);_(\ \(#,##0.0\)_);_(\ &quot; - &quot;_)"/>
    <numFmt numFmtId="175" formatCode="###0"/>
    <numFmt numFmtId="176" formatCode="_(&quot;$&quot;* #,##0_);_(&quot;$&quot;* \(#,##0\);_(&quot;$&quot;* &quot;-&quot;??_);_(@_)"/>
    <numFmt numFmtId="177" formatCode="#,##0.0%_);\(#,##0.0%\);&quot;–&quot;_);@_)"/>
  </numFmts>
  <fonts count="34" x14ac:knownFonts="1">
    <font>
      <sz val="10"/>
      <name val="Arial"/>
    </font>
    <font>
      <sz val="10"/>
      <name val="Arial"/>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family val="1"/>
      <charset val="2"/>
    </font>
    <font>
      <sz val="10"/>
      <color indexed="8"/>
      <name val="Arial"/>
      <family val="2"/>
    </font>
    <font>
      <b/>
      <sz val="8"/>
      <color indexed="8"/>
      <name val="Verdana"/>
      <family val="2"/>
    </font>
    <font>
      <i/>
      <sz val="8"/>
      <name val="Arial"/>
      <family val="2"/>
    </font>
    <font>
      <b/>
      <sz val="8"/>
      <name val="Arial"/>
      <family val="2"/>
    </font>
    <font>
      <b/>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i/>
      <sz val="8"/>
      <name val="Arial"/>
      <family val="2"/>
    </font>
    <font>
      <b/>
      <sz val="10"/>
      <color indexed="8"/>
      <name val="Arial"/>
      <family val="2"/>
    </font>
    <font>
      <sz val="8"/>
      <name val="Arial"/>
      <family val="2"/>
    </font>
    <font>
      <sz val="11"/>
      <color rgb="FF000000"/>
      <name val="Verdana"/>
      <family val="2"/>
    </font>
    <font>
      <b/>
      <i/>
      <sz val="9"/>
      <color rgb="FFFFFFFF"/>
      <name val="Arial"/>
      <family val="2"/>
    </font>
    <font>
      <b/>
      <sz val="10"/>
      <color rgb="FFFFFFFF"/>
      <name val="Arial"/>
      <family val="2"/>
    </font>
    <font>
      <b/>
      <sz val="10"/>
      <color rgb="FF000000"/>
      <name val="Arial"/>
      <family val="2"/>
    </font>
    <font>
      <sz val="10"/>
      <color rgb="FF000000"/>
      <name val="Arial"/>
      <family val="2"/>
    </font>
    <font>
      <i/>
      <sz val="9"/>
      <color rgb="FF000000"/>
      <name val="Verdana"/>
      <family val="2"/>
    </font>
    <font>
      <sz val="10"/>
      <color rgb="FF000000"/>
      <name val="Verdana"/>
      <family val="2"/>
    </font>
    <font>
      <i/>
      <sz val="10"/>
      <color rgb="FF000000"/>
      <name val="Verdana"/>
      <family val="2"/>
    </font>
  </fonts>
  <fills count="9">
    <fill>
      <patternFill patternType="none"/>
    </fill>
    <fill>
      <patternFill patternType="gray125"/>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rgb="FFA6C9EC"/>
        <bgColor rgb="FF000000"/>
      </patternFill>
    </fill>
    <fill>
      <patternFill patternType="solid">
        <fgColor rgb="FF153D64"/>
        <bgColor rgb="FF000000"/>
      </patternFill>
    </fill>
    <fill>
      <patternFill patternType="solid">
        <fgColor rgb="FFF2F2F2"/>
        <bgColor rgb="FF000000"/>
      </patternFill>
    </fill>
  </fills>
  <borders count="4">
    <border>
      <left/>
      <right/>
      <top/>
      <bottom/>
      <diagonal/>
    </border>
    <border>
      <left/>
      <right/>
      <top style="thin">
        <color indexed="8"/>
      </top>
      <bottom/>
      <diagonal/>
    </border>
    <border>
      <left/>
      <right/>
      <top style="thin">
        <color indexed="64"/>
      </top>
      <bottom/>
      <diagonal/>
    </border>
    <border>
      <left/>
      <right/>
      <top style="thin">
        <color rgb="FF000000"/>
      </top>
      <bottom/>
      <diagonal/>
    </border>
  </borders>
  <cellStyleXfs count="18">
    <xf numFmtId="0" fontId="0" fillId="0" borderId="0"/>
    <xf numFmtId="0" fontId="15" fillId="0" borderId="0" applyAlignment="0"/>
    <xf numFmtId="0" fontId="16" fillId="0" borderId="0" applyAlignment="0"/>
    <xf numFmtId="0" fontId="8" fillId="2" borderId="0" applyAlignment="0"/>
    <xf numFmtId="44" fontId="1" fillId="0" borderId="0" applyFont="0" applyFill="0" applyBorder="0" applyAlignment="0" applyProtection="0"/>
    <xf numFmtId="0" fontId="14" fillId="0" borderId="0" applyAlignment="0"/>
    <xf numFmtId="0" fontId="6" fillId="3" borderId="0" applyAlignment="0"/>
    <xf numFmtId="0" fontId="5" fillId="4" borderId="0" applyAlignment="0"/>
    <xf numFmtId="0" fontId="4" fillId="0" borderId="0" applyAlignment="0"/>
    <xf numFmtId="9" fontId="1" fillId="0" borderId="0" applyFont="0" applyFill="0" applyBorder="0" applyAlignment="0" applyProtection="0"/>
    <xf numFmtId="0" fontId="7" fillId="5" borderId="0" applyAlignment="0"/>
    <xf numFmtId="0" fontId="11" fillId="0" borderId="0" applyAlignment="0"/>
    <xf numFmtId="0" fontId="10" fillId="0" borderId="0" applyAlignment="0"/>
    <xf numFmtId="0" fontId="12" fillId="0" borderId="0" applyAlignment="0"/>
    <xf numFmtId="0" fontId="13" fillId="0" borderId="0" applyAlignment="0"/>
    <xf numFmtId="0" fontId="9" fillId="0" borderId="0" applyAlignment="0"/>
    <xf numFmtId="0" fontId="3" fillId="0" borderId="0" applyAlignment="0"/>
    <xf numFmtId="0" fontId="12" fillId="0" borderId="0" applyAlignment="0">
      <alignment wrapText="1"/>
    </xf>
  </cellStyleXfs>
  <cellXfs count="108">
    <xf numFmtId="0" fontId="2" fillId="0" borderId="0" xfId="0" applyFont="1"/>
    <xf numFmtId="0" fontId="3" fillId="0" borderId="0" xfId="0" applyNumberFormat="1" applyFont="1" applyAlignment="1"/>
    <xf numFmtId="0" fontId="17" fillId="0" borderId="0" xfId="0" applyFont="1" applyAlignment="1">
      <alignment wrapText="1"/>
    </xf>
    <xf numFmtId="0" fontId="18" fillId="0" borderId="0" xfId="0" applyFont="1"/>
    <xf numFmtId="0" fontId="9" fillId="0" borderId="0" xfId="0" applyNumberFormat="1" applyFont="1" applyAlignment="1">
      <alignment horizontal="left" vertical="top"/>
    </xf>
    <xf numFmtId="49" fontId="2" fillId="0" borderId="0" xfId="0" applyNumberFormat="1" applyFont="1"/>
    <xf numFmtId="0" fontId="7" fillId="5" borderId="0" xfId="0" applyFont="1" applyFill="1" applyAlignment="1"/>
    <xf numFmtId="0" fontId="12" fillId="2" borderId="0" xfId="0" applyFont="1" applyFill="1" applyAlignment="1">
      <alignment wrapText="1"/>
    </xf>
    <xf numFmtId="0" fontId="19" fillId="2" borderId="0" xfId="0" applyFont="1" applyFill="1" applyAlignment="1">
      <alignment wrapText="1"/>
    </xf>
    <xf numFmtId="0" fontId="12" fillId="0" borderId="0" xfId="0" applyFont="1" applyAlignment="1">
      <alignment horizontal="left" vertical="top"/>
    </xf>
    <xf numFmtId="0" fontId="13" fillId="0" borderId="0" xfId="0" applyFont="1" applyAlignment="1">
      <alignment horizontal="left" vertical="top"/>
    </xf>
    <xf numFmtId="0" fontId="9" fillId="0" borderId="0" xfId="0" applyFont="1" applyAlignment="1">
      <alignment horizontal="left" vertical="top"/>
    </xf>
    <xf numFmtId="0" fontId="2" fillId="0" borderId="0" xfId="0" applyFont="1" applyAlignment="1">
      <alignment vertical="top" wrapText="1"/>
    </xf>
    <xf numFmtId="0" fontId="12" fillId="2" borderId="0" xfId="0" applyFont="1" applyFill="1" applyAlignment="1">
      <alignment horizontal="right" wrapText="1"/>
    </xf>
    <xf numFmtId="0" fontId="19" fillId="2" borderId="0" xfId="0" applyFont="1" applyFill="1" applyAlignment="1">
      <alignment horizontal="right" wrapText="1"/>
    </xf>
    <xf numFmtId="164" fontId="12" fillId="0" borderId="0" xfId="0" applyNumberFormat="1" applyFont="1" applyAlignment="1">
      <alignment horizontal="right" vertical="top" wrapText="1"/>
    </xf>
    <xf numFmtId="165" fontId="13" fillId="0" borderId="0" xfId="0" applyNumberFormat="1" applyFont="1" applyAlignment="1">
      <alignment horizontal="right" vertical="top" wrapText="1"/>
    </xf>
    <xf numFmtId="166" fontId="12" fillId="0" borderId="0" xfId="0" applyNumberFormat="1" applyFont="1" applyAlignment="1">
      <alignment horizontal="right" vertical="top" wrapText="1"/>
    </xf>
    <xf numFmtId="49" fontId="9" fillId="0" borderId="0" xfId="0" applyNumberFormat="1" applyFont="1" applyAlignment="1">
      <alignment horizontal="right" vertical="top" wrapText="1"/>
    </xf>
    <xf numFmtId="164" fontId="9" fillId="0" borderId="0" xfId="0" applyNumberFormat="1" applyFont="1" applyAlignment="1">
      <alignment horizontal="right" vertical="top" wrapText="1"/>
    </xf>
    <xf numFmtId="167" fontId="13" fillId="0" borderId="0" xfId="0" applyNumberFormat="1" applyFont="1" applyAlignment="1">
      <alignment horizontal="right" vertical="top" wrapText="1"/>
    </xf>
    <xf numFmtId="49" fontId="13" fillId="0" borderId="0" xfId="0" applyNumberFormat="1" applyFont="1" applyAlignment="1">
      <alignment horizontal="right" vertical="top" wrapText="1"/>
    </xf>
    <xf numFmtId="168" fontId="9" fillId="0" borderId="0" xfId="0" applyNumberFormat="1" applyFont="1" applyAlignment="1">
      <alignment horizontal="right" vertical="top" wrapText="1"/>
    </xf>
    <xf numFmtId="0" fontId="2" fillId="0" borderId="0" xfId="0" applyFont="1" applyAlignment="1">
      <alignment horizontal="center" vertical="top" wrapText="1"/>
    </xf>
    <xf numFmtId="169" fontId="9" fillId="0" borderId="0" xfId="0" applyNumberFormat="1" applyFont="1" applyAlignment="1">
      <alignment horizontal="right" vertical="top" wrapText="1"/>
    </xf>
    <xf numFmtId="170" fontId="9" fillId="0" borderId="0" xfId="0" applyNumberFormat="1" applyFont="1" applyAlignment="1">
      <alignment horizontal="right" vertical="top" wrapText="1"/>
    </xf>
    <xf numFmtId="0" fontId="9" fillId="0" borderId="0" xfId="0" applyNumberFormat="1" applyFont="1" applyAlignment="1">
      <alignment horizontal="center" vertical="center"/>
    </xf>
    <xf numFmtId="0" fontId="9" fillId="0" borderId="0" xfId="0" applyNumberFormat="1" applyFont="1" applyAlignment="1">
      <alignment horizontal="left" vertical="center"/>
    </xf>
    <xf numFmtId="0" fontId="2" fillId="0" borderId="0" xfId="0" applyFont="1" applyAlignment="1">
      <alignment vertical="top"/>
    </xf>
    <xf numFmtId="164" fontId="12" fillId="0" borderId="1" xfId="0" applyNumberFormat="1" applyFont="1" applyBorder="1" applyAlignment="1">
      <alignment horizontal="right" vertical="top" wrapText="1"/>
    </xf>
    <xf numFmtId="164" fontId="20" fillId="0" borderId="1" xfId="0" applyNumberFormat="1" applyFont="1" applyBorder="1" applyAlignment="1">
      <alignment horizontal="right" vertical="top" wrapText="1"/>
    </xf>
    <xf numFmtId="166" fontId="9" fillId="0" borderId="0" xfId="0" applyNumberFormat="1" applyFont="1" applyAlignment="1">
      <alignment horizontal="right" vertical="top" wrapText="1"/>
    </xf>
    <xf numFmtId="165" fontId="9" fillId="0" borderId="0" xfId="0" applyNumberFormat="1" applyFont="1" applyAlignment="1">
      <alignment horizontal="right" vertical="top" wrapText="1"/>
    </xf>
    <xf numFmtId="171" fontId="9" fillId="0" borderId="0" xfId="0" applyNumberFormat="1" applyFont="1" applyAlignment="1">
      <alignment horizontal="right" vertical="top" wrapText="1"/>
    </xf>
    <xf numFmtId="172" fontId="9" fillId="0" borderId="0" xfId="0" applyNumberFormat="1" applyFont="1" applyAlignment="1">
      <alignment horizontal="right" vertical="top" wrapText="1"/>
    </xf>
    <xf numFmtId="0" fontId="2" fillId="0" borderId="0" xfId="0" applyFont="1" applyAlignment="1"/>
    <xf numFmtId="172" fontId="12" fillId="2" borderId="0" xfId="0" applyNumberFormat="1" applyFont="1" applyFill="1" applyAlignment="1">
      <alignment horizontal="right" wrapText="1"/>
    </xf>
    <xf numFmtId="164" fontId="21" fillId="0" borderId="1" xfId="0" applyNumberFormat="1" applyFont="1" applyBorder="1" applyAlignment="1">
      <alignment horizontal="right" vertical="top" wrapText="1"/>
    </xf>
    <xf numFmtId="164" fontId="21" fillId="0" borderId="0" xfId="0" applyNumberFormat="1" applyFont="1" applyAlignment="1">
      <alignment horizontal="right" vertical="top" wrapText="1"/>
    </xf>
    <xf numFmtId="164" fontId="20" fillId="0" borderId="0" xfId="0" applyNumberFormat="1" applyFont="1" applyAlignment="1">
      <alignment horizontal="right" vertical="top" wrapText="1"/>
    </xf>
    <xf numFmtId="173" fontId="9" fillId="0" borderId="0" xfId="0" applyNumberFormat="1" applyFont="1" applyAlignment="1">
      <alignment horizontal="right" vertical="top" wrapText="1"/>
    </xf>
    <xf numFmtId="0" fontId="9" fillId="0" borderId="0" xfId="0" applyNumberFormat="1" applyFont="1" applyAlignment="1">
      <alignment horizontal="center" vertical="center" wrapText="1"/>
    </xf>
    <xf numFmtId="0" fontId="22" fillId="5" borderId="0" xfId="0" applyNumberFormat="1" applyFont="1" applyFill="1" applyAlignment="1">
      <alignment horizontal="left"/>
    </xf>
    <xf numFmtId="0" fontId="8" fillId="2" borderId="0" xfId="0" applyNumberFormat="1" applyFont="1" applyFill="1" applyAlignment="1">
      <alignment horizontal="right"/>
    </xf>
    <xf numFmtId="0" fontId="12" fillId="0" borderId="0" xfId="0" applyNumberFormat="1" applyFont="1" applyAlignment="1">
      <alignment horizontal="left"/>
    </xf>
    <xf numFmtId="0" fontId="12" fillId="2" borderId="0" xfId="0" applyNumberFormat="1" applyFont="1" applyFill="1" applyAlignment="1">
      <alignment horizontal="right"/>
    </xf>
    <xf numFmtId="172" fontId="12" fillId="2" borderId="0" xfId="0" applyNumberFormat="1" applyFont="1" applyFill="1" applyAlignment="1">
      <alignment horizontal="right"/>
    </xf>
    <xf numFmtId="0" fontId="12" fillId="0" borderId="0" xfId="0" applyNumberFormat="1" applyFont="1" applyAlignment="1">
      <alignment horizontal="right"/>
    </xf>
    <xf numFmtId="170" fontId="9" fillId="0" borderId="0" xfId="0" applyNumberFormat="1" applyFont="1" applyAlignment="1">
      <alignment horizontal="right"/>
    </xf>
    <xf numFmtId="49" fontId="9" fillId="0" borderId="0" xfId="0" applyNumberFormat="1" applyFont="1" applyAlignment="1">
      <alignment horizontal="right"/>
    </xf>
    <xf numFmtId="0" fontId="12" fillId="0" borderId="0" xfId="0" applyFont="1" applyAlignment="1">
      <alignment horizontal="right"/>
    </xf>
    <xf numFmtId="170" fontId="2" fillId="0" borderId="0" xfId="0" applyNumberFormat="1" applyFont="1" applyAlignment="1">
      <alignment horizontal="right"/>
    </xf>
    <xf numFmtId="49" fontId="2"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wrapText="1"/>
    </xf>
    <xf numFmtId="0" fontId="2" fillId="0" borderId="0" xfId="0" applyFont="1" applyAlignment="1">
      <alignment wrapText="1"/>
    </xf>
    <xf numFmtId="0" fontId="9" fillId="0" borderId="0" xfId="0" applyFont="1" applyAlignment="1">
      <alignment vertical="top" wrapText="1"/>
    </xf>
    <xf numFmtId="165" fontId="19" fillId="0" borderId="0" xfId="0" applyNumberFormat="1" applyFont="1" applyAlignment="1">
      <alignment horizontal="right" vertical="top" wrapText="1"/>
    </xf>
    <xf numFmtId="0" fontId="23" fillId="2" borderId="0" xfId="0" applyFont="1" applyFill="1" applyAlignment="1">
      <alignment horizontal="right" wrapText="1"/>
    </xf>
    <xf numFmtId="0" fontId="18" fillId="2" borderId="0" xfId="0" applyFont="1" applyFill="1" applyAlignment="1">
      <alignment horizontal="right" wrapText="1"/>
    </xf>
    <xf numFmtId="165" fontId="17" fillId="0" borderId="0" xfId="0" applyNumberFormat="1" applyFont="1" applyAlignment="1">
      <alignment horizontal="right"/>
    </xf>
    <xf numFmtId="165" fontId="23" fillId="0" borderId="0" xfId="0" applyNumberFormat="1" applyFont="1" applyAlignment="1">
      <alignment horizontal="right"/>
    </xf>
    <xf numFmtId="164" fontId="2" fillId="0" borderId="0" xfId="0" applyNumberFormat="1" applyFont="1" applyAlignment="1">
      <alignment horizontal="right"/>
    </xf>
    <xf numFmtId="164" fontId="18" fillId="0" borderId="0" xfId="0" applyNumberFormat="1" applyFont="1" applyAlignment="1">
      <alignment horizontal="right"/>
    </xf>
    <xf numFmtId="169" fontId="2" fillId="0" borderId="0" xfId="0" applyNumberFormat="1" applyFont="1" applyAlignment="1">
      <alignment horizontal="right"/>
    </xf>
    <xf numFmtId="165" fontId="2" fillId="0" borderId="0" xfId="0" applyNumberFormat="1" applyFont="1" applyAlignment="1">
      <alignment horizontal="right"/>
    </xf>
    <xf numFmtId="172" fontId="2" fillId="0" borderId="0" xfId="0" applyNumberFormat="1" applyFont="1" applyAlignment="1">
      <alignment horizontal="right"/>
    </xf>
    <xf numFmtId="0" fontId="8" fillId="2" borderId="0" xfId="0" applyNumberFormat="1" applyFont="1" applyFill="1" applyAlignment="1">
      <alignment horizontal="left" wrapText="1"/>
    </xf>
    <xf numFmtId="0" fontId="8" fillId="2" borderId="0" xfId="0" applyNumberFormat="1" applyFont="1" applyFill="1" applyAlignment="1">
      <alignment wrapText="1"/>
    </xf>
    <xf numFmtId="174" fontId="9" fillId="0" borderId="0" xfId="0" applyNumberFormat="1" applyFont="1" applyAlignment="1">
      <alignment horizontal="center" vertical="top" wrapText="1"/>
    </xf>
    <xf numFmtId="0" fontId="9" fillId="0" borderId="0" xfId="0" applyNumberFormat="1" applyFont="1" applyAlignment="1">
      <alignment horizontal="center" vertical="top" wrapText="1"/>
    </xf>
    <xf numFmtId="0" fontId="9" fillId="0" borderId="0" xfId="0" applyFont="1" applyAlignment="1">
      <alignment horizontal="center" vertical="top" wrapText="1"/>
    </xf>
    <xf numFmtId="172" fontId="9" fillId="0" borderId="0" xfId="0" applyNumberFormat="1" applyFont="1" applyAlignment="1">
      <alignment horizontal="center" vertical="top" wrapText="1"/>
    </xf>
    <xf numFmtId="175" fontId="9" fillId="0" borderId="0" xfId="0" applyNumberFormat="1" applyFont="1" applyAlignment="1">
      <alignment horizontal="right" vertical="top" wrapText="1"/>
    </xf>
    <xf numFmtId="173" fontId="12" fillId="0" borderId="1" xfId="0" applyNumberFormat="1" applyFont="1" applyBorder="1" applyAlignment="1">
      <alignment horizontal="right" vertical="top" wrapText="1"/>
    </xf>
    <xf numFmtId="0" fontId="14" fillId="0" borderId="0" xfId="5" applyFont="1" applyAlignment="1"/>
    <xf numFmtId="164" fontId="12" fillId="0" borderId="0" xfId="0" applyNumberFormat="1" applyFont="1" applyBorder="1" applyAlignment="1">
      <alignment horizontal="right" vertical="top" wrapText="1"/>
    </xf>
    <xf numFmtId="0" fontId="12" fillId="0" borderId="2" xfId="0" applyFont="1" applyBorder="1" applyAlignment="1">
      <alignment horizontal="left" vertical="top"/>
    </xf>
    <xf numFmtId="164" fontId="12" fillId="0" borderId="2" xfId="0" applyNumberFormat="1" applyFont="1" applyBorder="1" applyAlignment="1">
      <alignment horizontal="right" vertical="top" wrapText="1"/>
    </xf>
    <xf numFmtId="0" fontId="26" fillId="6" borderId="0" xfId="0" applyFont="1" applyFill="1"/>
    <xf numFmtId="0" fontId="27" fillId="7" borderId="0" xfId="0" applyFont="1" applyFill="1" applyAlignment="1">
      <alignment wrapText="1"/>
    </xf>
    <xf numFmtId="0" fontId="28" fillId="7" borderId="0" xfId="0" applyFont="1" applyFill="1" applyAlignment="1">
      <alignment wrapText="1"/>
    </xf>
    <xf numFmtId="0" fontId="28" fillId="7" borderId="0" xfId="0" applyFont="1" applyFill="1" applyAlignment="1">
      <alignment horizontal="right" wrapText="1"/>
    </xf>
    <xf numFmtId="0" fontId="29" fillId="0" borderId="0" xfId="0" applyFont="1" applyAlignment="1">
      <alignment horizontal="left" vertical="top"/>
    </xf>
    <xf numFmtId="0" fontId="30" fillId="0" borderId="0" xfId="0" applyFont="1" applyAlignment="1">
      <alignment horizontal="left" vertical="top"/>
    </xf>
    <xf numFmtId="0" fontId="25" fillId="0" borderId="0" xfId="0" applyFont="1"/>
    <xf numFmtId="0" fontId="30" fillId="0" borderId="0" xfId="0" applyFont="1" applyAlignment="1">
      <alignment horizontal="left" vertical="center"/>
    </xf>
    <xf numFmtId="177" fontId="31" fillId="0" borderId="0" xfId="0" applyNumberFormat="1" applyFont="1" applyAlignment="1">
      <alignment horizontal="left" vertical="center" indent="1"/>
    </xf>
    <xf numFmtId="177" fontId="32" fillId="8" borderId="0" xfId="0" applyNumberFormat="1" applyFont="1" applyFill="1" applyAlignment="1">
      <alignment vertical="center"/>
    </xf>
    <xf numFmtId="177" fontId="33" fillId="0" borderId="0" xfId="0" applyNumberFormat="1" applyFont="1" applyAlignment="1">
      <alignment vertical="center"/>
    </xf>
    <xf numFmtId="173" fontId="30" fillId="0" borderId="0" xfId="0" applyNumberFormat="1" applyFont="1" applyAlignment="1">
      <alignment horizontal="right" vertical="center" wrapText="1"/>
    </xf>
    <xf numFmtId="9" fontId="30" fillId="0" borderId="0" xfId="9" applyFont="1" applyFill="1" applyBorder="1" applyAlignment="1">
      <alignment horizontal="right" vertical="center" wrapText="1"/>
    </xf>
    <xf numFmtId="0" fontId="29" fillId="0" borderId="2" xfId="0" applyFont="1" applyBorder="1" applyAlignment="1">
      <alignment horizontal="left" vertical="center"/>
    </xf>
    <xf numFmtId="173" fontId="29" fillId="0" borderId="3" xfId="0" applyNumberFormat="1" applyFont="1" applyBorder="1" applyAlignment="1">
      <alignment horizontal="right" vertical="center" wrapText="1"/>
    </xf>
    <xf numFmtId="177" fontId="33" fillId="0" borderId="0" xfId="0" applyNumberFormat="1" applyFont="1" applyAlignment="1">
      <alignment horizontal="right" vertical="center"/>
    </xf>
    <xf numFmtId="0" fontId="25" fillId="0" borderId="0" xfId="0" applyFont="1" applyAlignment="1">
      <alignment vertical="center"/>
    </xf>
    <xf numFmtId="0" fontId="26" fillId="6" borderId="0" xfId="0" applyFont="1" applyFill="1" applyAlignment="1">
      <alignment horizontal="center"/>
    </xf>
    <xf numFmtId="0" fontId="12" fillId="2" borderId="0" xfId="0" applyFont="1" applyFill="1" applyAlignment="1">
      <alignment horizontal="center" wrapText="1"/>
    </xf>
    <xf numFmtId="0" fontId="9" fillId="0" borderId="0" xfId="0" applyFont="1" applyAlignment="1">
      <alignment vertical="top" wrapText="1"/>
    </xf>
    <xf numFmtId="0" fontId="2" fillId="0" borderId="0" xfId="0" applyFont="1"/>
    <xf numFmtId="0" fontId="18" fillId="2" borderId="0" xfId="0" applyFont="1" applyFill="1" applyAlignment="1">
      <alignment horizontal="center" wrapText="1"/>
    </xf>
    <xf numFmtId="0" fontId="24" fillId="0" borderId="0" xfId="0" applyFont="1" applyAlignment="1">
      <alignment horizontal="left" vertical="top"/>
    </xf>
    <xf numFmtId="164" fontId="24" fillId="0" borderId="1" xfId="0" applyNumberFormat="1" applyFont="1" applyBorder="1" applyAlignment="1">
      <alignment horizontal="right" vertical="top" wrapText="1"/>
    </xf>
    <xf numFmtId="0" fontId="15" fillId="0" borderId="0" xfId="0" applyFont="1" applyAlignment="1">
      <alignment horizontal="left" vertical="top"/>
    </xf>
    <xf numFmtId="164" fontId="15" fillId="0" borderId="0" xfId="0" applyNumberFormat="1" applyFont="1" applyAlignment="1">
      <alignment horizontal="right" vertical="top" wrapText="1"/>
    </xf>
    <xf numFmtId="164" fontId="24" fillId="0" borderId="0" xfId="0" applyNumberFormat="1" applyFont="1" applyAlignment="1">
      <alignment horizontal="right" vertical="top" wrapText="1"/>
    </xf>
    <xf numFmtId="176" fontId="29" fillId="0" borderId="0" xfId="4" applyNumberFormat="1" applyFont="1" applyFill="1" applyBorder="1" applyAlignment="1">
      <alignment horizontal="right" vertical="center" wrapText="1"/>
    </xf>
    <xf numFmtId="9" fontId="15" fillId="0" borderId="0" xfId="9" applyFont="1" applyAlignment="1">
      <alignment horizontal="left" vertical="top"/>
    </xf>
  </cellXfs>
  <cellStyles count="21">
    <cellStyle name="ChartingText" xfId="1"/>
    <cellStyle name="CHPAboveAverage" xfId="2"/>
    <cellStyle name="CHPBelowAverage" xfId="2"/>
    <cellStyle name="CHPBottom" xfId="2"/>
    <cellStyle name="CHPTop" xfId="2"/>
    <cellStyle name="ColumnHeaderNormal" xfId="3"/>
    <cellStyle name="Currency" xfId="4" builtinId="4"/>
    <cellStyle name="Invisible" xfId="5"/>
    <cellStyle name="NewColumnHeaderNormal" xfId="6"/>
    <cellStyle name="NewSectionHeaderNormal" xfId="7"/>
    <cellStyle name="NewTitleNormal" xfId="8"/>
    <cellStyle name="Normal" xfId="0" builtinId="0"/>
    <cellStyle name="Percent" xfId="9" builtinId="5"/>
    <cellStyle name="SectionHeaderNormal" xfId="10"/>
    <cellStyle name="SubScript" xfId="11"/>
    <cellStyle name="SuperScript" xfId="12"/>
    <cellStyle name="TextBold" xfId="13"/>
    <cellStyle name="TextItalic" xfId="14"/>
    <cellStyle name="TextNormal" xfId="15"/>
    <cellStyle name="TitleNormal" xfId="16"/>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1029" name="Picture 2">
          <a:extLst>
            <a:ext uri="{FF2B5EF4-FFF2-40B4-BE49-F238E27FC236}">
              <a16:creationId xmlns:a16="http://schemas.microsoft.com/office/drawing/2014/main" id="{1796E4E6-5795-515A-9CA9-7E5AAEFB63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15240</xdr:colOff>
      <xdr:row>70</xdr:row>
      <xdr:rowOff>0</xdr:rowOff>
    </xdr:from>
    <xdr:to>
      <xdr:col>3</xdr:col>
      <xdr:colOff>594360</xdr:colOff>
      <xdr:row>70</xdr:row>
      <xdr:rowOff>1905000</xdr:rowOff>
    </xdr:to>
    <xdr:pic>
      <xdr:nvPicPr>
        <xdr:cNvPr id="1030" name="Picture 3">
          <a:extLst>
            <a:ext uri="{FF2B5EF4-FFF2-40B4-BE49-F238E27FC236}">
              <a16:creationId xmlns:a16="http://schemas.microsoft.com/office/drawing/2014/main" id="{21773C70-EBBB-BF23-777B-C8906EE1A8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9921240"/>
          <a:ext cx="574548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3075" name="Picture 2">
          <a:extLst>
            <a:ext uri="{FF2B5EF4-FFF2-40B4-BE49-F238E27FC236}">
              <a16:creationId xmlns:a16="http://schemas.microsoft.com/office/drawing/2014/main" id="{0C7F3EBD-8BC2-BF1C-A037-52B070D6CB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5123" name="Picture 2">
          <a:extLst>
            <a:ext uri="{FF2B5EF4-FFF2-40B4-BE49-F238E27FC236}">
              <a16:creationId xmlns:a16="http://schemas.microsoft.com/office/drawing/2014/main" id="{CCCD99DB-94EF-900C-86D5-0DF0754E2F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7171" name="Picture 2">
          <a:extLst>
            <a:ext uri="{FF2B5EF4-FFF2-40B4-BE49-F238E27FC236}">
              <a16:creationId xmlns:a16="http://schemas.microsoft.com/office/drawing/2014/main" id="{B4810C1F-0E68-791B-BC0C-E263CC79F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9221" name="Picture 2">
          <a:extLst>
            <a:ext uri="{FF2B5EF4-FFF2-40B4-BE49-F238E27FC236}">
              <a16:creationId xmlns:a16="http://schemas.microsoft.com/office/drawing/2014/main" id="{12A297D3-6A48-A19D-9E3A-61B9E95BCC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90</xdr:row>
      <xdr:rowOff>0</xdr:rowOff>
    </xdr:from>
    <xdr:to>
      <xdr:col>1</xdr:col>
      <xdr:colOff>784860</xdr:colOff>
      <xdr:row>92</xdr:row>
      <xdr:rowOff>99060</xdr:rowOff>
    </xdr:to>
    <xdr:pic>
      <xdr:nvPicPr>
        <xdr:cNvPr id="9222" name="Picture 3">
          <a:extLst>
            <a:ext uri="{FF2B5EF4-FFF2-40B4-BE49-F238E27FC236}">
              <a16:creationId xmlns:a16="http://schemas.microsoft.com/office/drawing/2014/main" id="{7135C2DF-86DC-3342-FC33-1BB91E4F6B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39440" y="11757660"/>
          <a:ext cx="784860" cy="541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11269" name="Picture 2">
          <a:extLst>
            <a:ext uri="{FF2B5EF4-FFF2-40B4-BE49-F238E27FC236}">
              <a16:creationId xmlns:a16="http://schemas.microsoft.com/office/drawing/2014/main" id="{C9645366-9A1F-2133-CB54-EC2729F33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41</xdr:row>
      <xdr:rowOff>0</xdr:rowOff>
    </xdr:from>
    <xdr:to>
      <xdr:col>1</xdr:col>
      <xdr:colOff>784860</xdr:colOff>
      <xdr:row>43</xdr:row>
      <xdr:rowOff>99060</xdr:rowOff>
    </xdr:to>
    <xdr:pic>
      <xdr:nvPicPr>
        <xdr:cNvPr id="11270" name="Picture 3">
          <a:extLst>
            <a:ext uri="{FF2B5EF4-FFF2-40B4-BE49-F238E27FC236}">
              <a16:creationId xmlns:a16="http://schemas.microsoft.com/office/drawing/2014/main" id="{B60ACF7F-24D1-E5B8-9D7E-BB459CAB13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39440" y="7330440"/>
          <a:ext cx="784860" cy="541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13315" name="Picture 2">
          <a:extLst>
            <a:ext uri="{FF2B5EF4-FFF2-40B4-BE49-F238E27FC236}">
              <a16:creationId xmlns:a16="http://schemas.microsoft.com/office/drawing/2014/main" id="{533197B3-AF60-A381-3145-BC0F702845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937260</xdr:colOff>
      <xdr:row>2</xdr:row>
      <xdr:rowOff>91440</xdr:rowOff>
    </xdr:to>
    <xdr:pic>
      <xdr:nvPicPr>
        <xdr:cNvPr id="15363" name="Picture 2">
          <a:extLst>
            <a:ext uri="{FF2B5EF4-FFF2-40B4-BE49-F238E27FC236}">
              <a16:creationId xmlns:a16="http://schemas.microsoft.com/office/drawing/2014/main" id="{FF86BC33-E79D-1961-685D-70DD1914D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3726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17411" name="Picture 2">
          <a:extLst>
            <a:ext uri="{FF2B5EF4-FFF2-40B4-BE49-F238E27FC236}">
              <a16:creationId xmlns:a16="http://schemas.microsoft.com/office/drawing/2014/main" id="{A5F647B2-B762-980D-648D-D88DB1C4E3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19459" name="Picture 2">
          <a:extLst>
            <a:ext uri="{FF2B5EF4-FFF2-40B4-BE49-F238E27FC236}">
              <a16:creationId xmlns:a16="http://schemas.microsoft.com/office/drawing/2014/main" id="{799A60A7-0926-9B34-8AD9-5CFD4DAA89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21507" name="Picture 2">
          <a:extLst>
            <a:ext uri="{FF2B5EF4-FFF2-40B4-BE49-F238E27FC236}">
              <a16:creationId xmlns:a16="http://schemas.microsoft.com/office/drawing/2014/main" id="{8A30BD87-C8AC-357B-B688-8EEC5032FF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23555" name="Picture 2">
          <a:extLst>
            <a:ext uri="{FF2B5EF4-FFF2-40B4-BE49-F238E27FC236}">
              <a16:creationId xmlns:a16="http://schemas.microsoft.com/office/drawing/2014/main" id="{94F0DEF1-1248-EC90-FAC6-912EB7B06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944880</xdr:colOff>
      <xdr:row>2</xdr:row>
      <xdr:rowOff>91440</xdr:rowOff>
    </xdr:to>
    <xdr:pic>
      <xdr:nvPicPr>
        <xdr:cNvPr id="25603" name="Picture 2">
          <a:extLst>
            <a:ext uri="{FF2B5EF4-FFF2-40B4-BE49-F238E27FC236}">
              <a16:creationId xmlns:a16="http://schemas.microsoft.com/office/drawing/2014/main" id="{B5D92785-04CC-F998-C42C-43A6F1843F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mailsc-my.sharepoint.com/personal/leog_email_sc_edu/Documents/Heshey%20DCF%20and%20Pro-Forma%20IS.xlsx" TargetMode="External"/><Relationship Id="rId1" Type="http://schemas.openxmlformats.org/officeDocument/2006/relationships/externalLinkPath" Target="https://emailsc-my.sharepoint.com/personal/leog_email_sc_edu/Documents/Heshey%20DCF%20and%20Pro-Forma%20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CF"/>
      <sheetName val="DCF (2)"/>
      <sheetName val="assumptions and other data"/>
    </sheetNames>
    <sheetDataSet>
      <sheetData sheetId="0" refreshError="1"/>
      <sheetData sheetId="1" refreshError="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93"/>
  <sheetViews>
    <sheetView workbookViewId="0"/>
    <sheetView workbookViewId="1"/>
    <sheetView workbookViewId="2"/>
  </sheetViews>
  <sheetFormatPr defaultRowHeight="10.199999999999999" x14ac:dyDescent="0.2"/>
  <cols>
    <col min="1" max="1" width="45.77734375" customWidth="1"/>
    <col min="2" max="9" width="14.77734375" customWidth="1"/>
  </cols>
  <sheetData>
    <row r="5" spans="1:255" ht="16.2" x14ac:dyDescent="0.25">
      <c r="A5" s="1" t="s">
        <v>0</v>
      </c>
    </row>
    <row r="7" spans="1:255" x14ac:dyDescent="0.2">
      <c r="A7" s="2" t="s">
        <v>1</v>
      </c>
      <c r="B7" s="3" t="s">
        <v>2</v>
      </c>
      <c r="C7" t="s">
        <v>3</v>
      </c>
      <c r="D7" s="4" t="s">
        <v>4</v>
      </c>
      <c r="E7" s="3" t="s">
        <v>5</v>
      </c>
      <c r="F7" t="s">
        <v>6</v>
      </c>
    </row>
    <row r="8" spans="1:255" x14ac:dyDescent="0.2">
      <c r="A8" s="4"/>
      <c r="B8" s="3" t="s">
        <v>7</v>
      </c>
      <c r="C8" t="s">
        <v>8</v>
      </c>
      <c r="D8" s="4" t="s">
        <v>4</v>
      </c>
      <c r="E8" s="3" t="s">
        <v>9</v>
      </c>
      <c r="F8" t="s">
        <v>10</v>
      </c>
    </row>
    <row r="9" spans="1:255" x14ac:dyDescent="0.2">
      <c r="A9" s="4"/>
      <c r="B9" s="3" t="s">
        <v>11</v>
      </c>
      <c r="C9" s="5" t="s">
        <v>12</v>
      </c>
      <c r="D9" s="4" t="s">
        <v>4</v>
      </c>
      <c r="E9" s="3" t="s">
        <v>13</v>
      </c>
      <c r="F9" t="s">
        <v>14</v>
      </c>
    </row>
    <row r="12" spans="1:255" x14ac:dyDescent="0.2">
      <c r="A12" s="6" t="s">
        <v>15</v>
      </c>
      <c r="B12" s="6"/>
      <c r="C12" s="6"/>
      <c r="D12" s="6"/>
      <c r="E12" s="6"/>
      <c r="F12" s="6"/>
      <c r="G12" s="6"/>
      <c r="H12" s="6"/>
      <c r="I12" s="6"/>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75"/>
      <c r="DT12" s="75"/>
      <c r="DU12" s="75"/>
      <c r="DV12" s="75"/>
      <c r="DW12" s="75"/>
      <c r="DX12" s="75"/>
      <c r="DY12" s="75"/>
      <c r="DZ12" s="75"/>
      <c r="EA12" s="75"/>
      <c r="EB12" s="75"/>
      <c r="EC12" s="75"/>
      <c r="ED12" s="75"/>
      <c r="EE12" s="75"/>
      <c r="EF12" s="75"/>
      <c r="EG12" s="75"/>
      <c r="EH12" s="75"/>
      <c r="EI12" s="75"/>
      <c r="EJ12" s="75"/>
      <c r="EK12" s="75"/>
      <c r="EL12" s="75"/>
      <c r="EM12" s="75"/>
      <c r="EN12" s="75"/>
      <c r="EO12" s="75"/>
      <c r="EP12" s="75"/>
      <c r="EQ12" s="75"/>
      <c r="ER12" s="75"/>
      <c r="ES12" s="75"/>
      <c r="ET12" s="75"/>
      <c r="EU12" s="75"/>
      <c r="EV12" s="75"/>
      <c r="EW12" s="75"/>
      <c r="EX12" s="75"/>
      <c r="EY12" s="75"/>
      <c r="EZ12" s="75"/>
      <c r="FA12" s="75"/>
      <c r="FB12" s="75"/>
      <c r="FC12" s="75"/>
      <c r="FD12" s="75"/>
      <c r="FE12" s="75"/>
      <c r="FF12" s="75"/>
      <c r="FG12" s="75"/>
      <c r="FH12" s="75"/>
      <c r="FI12" s="75"/>
      <c r="FJ12" s="75"/>
      <c r="FK12" s="75"/>
      <c r="FL12" s="75"/>
      <c r="FM12" s="75"/>
      <c r="FN12" s="75"/>
      <c r="FO12" s="75"/>
      <c r="FP12" s="75"/>
      <c r="FQ12" s="75"/>
      <c r="FR12" s="75"/>
      <c r="FS12" s="75"/>
      <c r="FT12" s="75"/>
      <c r="FU12" s="75"/>
      <c r="FV12" s="75"/>
      <c r="FW12" s="75"/>
      <c r="FX12" s="75"/>
      <c r="FY12" s="75"/>
      <c r="FZ12" s="75"/>
      <c r="GA12" s="75"/>
      <c r="GB12" s="75"/>
      <c r="GC12" s="75"/>
      <c r="GD12" s="75"/>
      <c r="GE12" s="75"/>
      <c r="GF12" s="75"/>
      <c r="GG12" s="75"/>
      <c r="GH12" s="75"/>
      <c r="GI12" s="75"/>
      <c r="GJ12" s="75"/>
      <c r="GK12" s="75"/>
      <c r="GL12" s="75"/>
      <c r="GM12" s="75"/>
      <c r="GN12" s="75"/>
      <c r="GO12" s="75"/>
      <c r="GP12" s="75"/>
      <c r="GQ12" s="75"/>
      <c r="GR12" s="75"/>
      <c r="GS12" s="75"/>
      <c r="GT12" s="75"/>
      <c r="GU12" s="75"/>
      <c r="GV12" s="75"/>
      <c r="GW12" s="75"/>
      <c r="GX12" s="75"/>
      <c r="GY12" s="75"/>
      <c r="GZ12" s="75"/>
      <c r="HA12" s="75"/>
      <c r="HB12" s="75"/>
      <c r="HC12" s="75"/>
      <c r="HD12" s="75"/>
      <c r="HE12" s="75"/>
      <c r="HF12" s="75"/>
      <c r="HG12" s="75"/>
      <c r="HH12" s="75"/>
      <c r="HI12" s="75"/>
      <c r="HJ12" s="75"/>
      <c r="HK12" s="75"/>
      <c r="HL12" s="75"/>
      <c r="HM12" s="75"/>
      <c r="HN12" s="75"/>
      <c r="HO12" s="75"/>
      <c r="HP12" s="75"/>
      <c r="HQ12" s="75"/>
      <c r="HR12" s="75"/>
      <c r="HS12" s="75"/>
      <c r="HT12" s="75"/>
      <c r="HU12" s="75"/>
      <c r="HV12" s="75"/>
      <c r="HW12" s="75"/>
      <c r="HX12" s="75"/>
      <c r="HY12" s="75"/>
      <c r="HZ12" s="75"/>
      <c r="IA12" s="75"/>
      <c r="IB12" s="75"/>
      <c r="IC12" s="75"/>
      <c r="ID12" s="75"/>
      <c r="IE12" s="75"/>
      <c r="IF12" s="75"/>
      <c r="IG12" s="75"/>
      <c r="IH12" s="75"/>
      <c r="II12" s="75"/>
      <c r="IJ12" s="75"/>
      <c r="IK12" s="75"/>
      <c r="IL12" s="75"/>
      <c r="IM12" s="75"/>
      <c r="IN12" s="75"/>
      <c r="IO12" s="75"/>
      <c r="IP12" s="75"/>
      <c r="IQ12" s="75"/>
      <c r="IR12" s="75"/>
      <c r="IS12" s="75"/>
      <c r="IT12" s="75"/>
      <c r="IU12" s="75"/>
    </row>
    <row r="13" spans="1:255" ht="20.399999999999999" x14ac:dyDescent="0.2">
      <c r="A13" s="7" t="s">
        <v>16</v>
      </c>
      <c r="B13" s="13" t="s">
        <v>17</v>
      </c>
      <c r="C13" s="13" t="s">
        <v>18</v>
      </c>
      <c r="D13" s="13" t="s">
        <v>19</v>
      </c>
      <c r="E13" s="13" t="s">
        <v>20</v>
      </c>
      <c r="F13" s="13" t="s">
        <v>21</v>
      </c>
      <c r="G13" s="13" t="s">
        <v>22</v>
      </c>
      <c r="H13" s="13" t="s">
        <v>23</v>
      </c>
      <c r="I13" s="13" t="s">
        <v>24</v>
      </c>
    </row>
    <row r="14" spans="1:255" x14ac:dyDescent="0.2">
      <c r="A14" s="8" t="s">
        <v>25</v>
      </c>
      <c r="B14" s="14" t="s">
        <v>26</v>
      </c>
      <c r="C14" s="14" t="s">
        <v>26</v>
      </c>
      <c r="D14" s="14" t="s">
        <v>26</v>
      </c>
      <c r="E14" s="14" t="s">
        <v>26</v>
      </c>
      <c r="F14" s="14" t="s">
        <v>26</v>
      </c>
      <c r="G14" s="14" t="s">
        <v>26</v>
      </c>
      <c r="H14" s="14" t="s">
        <v>26</v>
      </c>
      <c r="I14" s="14" t="s">
        <v>26</v>
      </c>
    </row>
    <row r="15" spans="1:255" x14ac:dyDescent="0.2">
      <c r="A15" s="9"/>
      <c r="B15" s="11"/>
      <c r="C15" s="11"/>
      <c r="D15" s="11"/>
      <c r="E15" s="11"/>
      <c r="F15" s="11"/>
      <c r="G15" s="11"/>
      <c r="H15" s="11"/>
      <c r="I15" s="11"/>
    </row>
    <row r="16" spans="1:255" x14ac:dyDescent="0.2">
      <c r="A16" s="9" t="s">
        <v>27</v>
      </c>
      <c r="B16" s="15">
        <v>1158.884</v>
      </c>
      <c r="C16" s="15">
        <v>1057.893</v>
      </c>
      <c r="D16" s="15">
        <v>1364.585</v>
      </c>
      <c r="E16" s="15">
        <v>1727.684</v>
      </c>
      <c r="F16" s="15">
        <v>1783.4</v>
      </c>
      <c r="G16" s="17">
        <v>1869.85547</v>
      </c>
      <c r="H16" s="17">
        <v>1945.65832</v>
      </c>
      <c r="I16" s="17">
        <v>2158.1606400000001</v>
      </c>
    </row>
    <row r="17" spans="1:9" x14ac:dyDescent="0.2">
      <c r="A17" s="10" t="s">
        <v>28</v>
      </c>
      <c r="B17" s="16">
        <v>-5.0470000000000003E-3</v>
      </c>
      <c r="C17" s="16">
        <v>-8.7146000000000001E-2</v>
      </c>
      <c r="D17" s="16">
        <v>0.289908</v>
      </c>
      <c r="E17" s="16">
        <v>0.26608700000000002</v>
      </c>
      <c r="F17" s="16">
        <v>3.2247999999999999E-2</v>
      </c>
      <c r="G17" s="20">
        <v>5.8174959833999999E-2</v>
      </c>
      <c r="H17" s="20">
        <v>4.0539416664000003E-2</v>
      </c>
      <c r="I17" s="20">
        <v>0.109218724488</v>
      </c>
    </row>
    <row r="18" spans="1:9" x14ac:dyDescent="0.2">
      <c r="A18" s="11"/>
      <c r="B18" s="11"/>
      <c r="C18" s="11"/>
      <c r="D18" s="11"/>
      <c r="E18" s="11"/>
      <c r="F18" s="11"/>
      <c r="G18" s="11"/>
      <c r="H18" s="11"/>
      <c r="I18" s="11"/>
    </row>
    <row r="19" spans="1:9" x14ac:dyDescent="0.2">
      <c r="A19" s="9" t="s">
        <v>29</v>
      </c>
      <c r="B19" s="15">
        <v>821.93299999999999</v>
      </c>
      <c r="C19" s="15">
        <v>714.92399999999998</v>
      </c>
      <c r="D19" s="15">
        <v>946.67399999999998</v>
      </c>
      <c r="E19" s="15">
        <v>1196.777</v>
      </c>
      <c r="F19" s="15">
        <v>1226.682</v>
      </c>
      <c r="G19" s="15" t="s">
        <v>30</v>
      </c>
      <c r="H19" s="15" t="s">
        <v>30</v>
      </c>
      <c r="I19" s="15" t="s">
        <v>30</v>
      </c>
    </row>
    <row r="20" spans="1:9" x14ac:dyDescent="0.2">
      <c r="A20" s="10" t="s">
        <v>31</v>
      </c>
      <c r="B20" s="16">
        <v>0.70924500000000001</v>
      </c>
      <c r="C20" s="16">
        <v>0.67579900000000004</v>
      </c>
      <c r="D20" s="16">
        <v>0.69374400000000003</v>
      </c>
      <c r="E20" s="16">
        <v>0.69270500000000002</v>
      </c>
      <c r="F20" s="16">
        <v>0.68783300000000003</v>
      </c>
      <c r="G20" s="20">
        <v>0.70750000000000002</v>
      </c>
      <c r="H20" s="20">
        <v>0.71599999999999997</v>
      </c>
      <c r="I20" s="20">
        <v>0.68700000000000006</v>
      </c>
    </row>
    <row r="21" spans="1:9" x14ac:dyDescent="0.2">
      <c r="A21" s="11"/>
      <c r="B21" s="11"/>
      <c r="C21" s="11"/>
      <c r="D21" s="11"/>
      <c r="E21" s="11"/>
      <c r="F21" s="11"/>
      <c r="G21" s="11"/>
      <c r="H21" s="11"/>
      <c r="I21" s="11"/>
    </row>
    <row r="22" spans="1:9" x14ac:dyDescent="0.2">
      <c r="A22" s="9" t="s">
        <v>32</v>
      </c>
      <c r="B22" s="15">
        <v>743.29100000000005</v>
      </c>
      <c r="C22" s="15">
        <v>595.99199999999996</v>
      </c>
      <c r="D22" s="15">
        <v>824.61</v>
      </c>
      <c r="E22" s="15">
        <v>1059.55</v>
      </c>
      <c r="F22" s="15">
        <v>1079.2090000000001</v>
      </c>
      <c r="G22" s="17">
        <v>1302.24856</v>
      </c>
      <c r="H22" s="17">
        <v>1348.9166700000001</v>
      </c>
      <c r="I22" s="17">
        <v>1438.6637000000001</v>
      </c>
    </row>
    <row r="23" spans="1:9" x14ac:dyDescent="0.2">
      <c r="A23" s="10" t="s">
        <v>31</v>
      </c>
      <c r="B23" s="16">
        <v>0.64138499999999998</v>
      </c>
      <c r="C23" s="16">
        <v>0.56337599999999999</v>
      </c>
      <c r="D23" s="16">
        <v>0.60429299999999997</v>
      </c>
      <c r="E23" s="16">
        <v>0.61327699999999996</v>
      </c>
      <c r="F23" s="16">
        <v>0.60514100000000004</v>
      </c>
      <c r="G23" s="20">
        <v>0.69644343153400001</v>
      </c>
      <c r="H23" s="20">
        <v>0.69329576325599995</v>
      </c>
      <c r="I23" s="20">
        <v>0.66661566953600004</v>
      </c>
    </row>
    <row r="24" spans="1:9" x14ac:dyDescent="0.2">
      <c r="A24" s="11"/>
      <c r="B24" s="11"/>
      <c r="C24" s="11"/>
      <c r="D24" s="11"/>
      <c r="E24" s="11"/>
      <c r="F24" s="11"/>
      <c r="G24" s="11"/>
      <c r="H24" s="11"/>
      <c r="I24" s="11"/>
    </row>
    <row r="25" spans="1:9" x14ac:dyDescent="0.2">
      <c r="A25" s="9" t="s">
        <v>33</v>
      </c>
      <c r="B25" s="15">
        <v>447.11200000000002</v>
      </c>
      <c r="C25" s="15">
        <v>332.75200000000001</v>
      </c>
      <c r="D25" s="15">
        <v>447.233</v>
      </c>
      <c r="E25" s="15">
        <v>571.64099999999996</v>
      </c>
      <c r="F25" s="15">
        <v>593.697</v>
      </c>
      <c r="G25" s="17">
        <v>685.29679999999996</v>
      </c>
      <c r="H25" s="17">
        <v>721.26714000000004</v>
      </c>
      <c r="I25" s="17">
        <v>801.53277000000003</v>
      </c>
    </row>
    <row r="26" spans="1:9" x14ac:dyDescent="0.2">
      <c r="A26" s="10" t="s">
        <v>31</v>
      </c>
      <c r="B26" s="16">
        <v>0.38581199999999999</v>
      </c>
      <c r="C26" s="16">
        <v>0.31454199999999999</v>
      </c>
      <c r="D26" s="16">
        <v>0.32774199999999998</v>
      </c>
      <c r="E26" s="16">
        <v>0.33087100000000003</v>
      </c>
      <c r="F26" s="16">
        <v>0.332901</v>
      </c>
      <c r="G26" s="20">
        <v>0.36649720312299999</v>
      </c>
      <c r="H26" s="20">
        <v>0.37070596239100001</v>
      </c>
      <c r="I26" s="20">
        <v>0.37139625065199999</v>
      </c>
    </row>
    <row r="27" spans="1:9" x14ac:dyDescent="0.2">
      <c r="A27" s="11"/>
      <c r="B27" s="11"/>
      <c r="C27" s="11"/>
      <c r="D27" s="11"/>
      <c r="E27" s="11"/>
      <c r="F27" s="11"/>
      <c r="G27" s="11"/>
      <c r="H27" s="11"/>
      <c r="I27" s="11"/>
    </row>
    <row r="28" spans="1:9" x14ac:dyDescent="0.2">
      <c r="A28" s="9" t="s">
        <v>34</v>
      </c>
      <c r="B28" s="15">
        <v>413.56099999999998</v>
      </c>
      <c r="C28" s="15">
        <v>1002.877</v>
      </c>
      <c r="D28" s="15">
        <v>849.69600000000003</v>
      </c>
      <c r="E28" s="15">
        <v>114.53400000000001</v>
      </c>
      <c r="F28" s="15">
        <v>665.94899999999996</v>
      </c>
      <c r="G28" s="15" t="s">
        <v>30</v>
      </c>
      <c r="H28" s="15" t="s">
        <v>30</v>
      </c>
      <c r="I28" s="15" t="s">
        <v>30</v>
      </c>
    </row>
    <row r="29" spans="1:9" x14ac:dyDescent="0.2">
      <c r="A29" s="10" t="s">
        <v>31</v>
      </c>
      <c r="B29" s="16">
        <v>0.35686099999999998</v>
      </c>
      <c r="C29" s="16">
        <v>0.947994</v>
      </c>
      <c r="D29" s="16">
        <v>0.62267700000000004</v>
      </c>
      <c r="E29" s="16">
        <v>6.6293000000000005E-2</v>
      </c>
      <c r="F29" s="16">
        <v>0.373415</v>
      </c>
      <c r="G29" s="21" t="s">
        <v>30</v>
      </c>
      <c r="H29" s="21" t="s">
        <v>30</v>
      </c>
      <c r="I29" s="21" t="s">
        <v>30</v>
      </c>
    </row>
    <row r="30" spans="1:9" x14ac:dyDescent="0.2">
      <c r="A30" s="11"/>
      <c r="B30" s="11"/>
      <c r="C30" s="11"/>
      <c r="D30" s="11"/>
      <c r="E30" s="11"/>
      <c r="F30" s="11"/>
      <c r="G30" s="11"/>
      <c r="H30" s="11"/>
      <c r="I30" s="11"/>
    </row>
    <row r="31" spans="1:9" x14ac:dyDescent="0.2">
      <c r="A31" s="9" t="s">
        <v>35</v>
      </c>
      <c r="B31" s="15" t="s">
        <v>36</v>
      </c>
      <c r="C31" s="15" t="s">
        <v>36</v>
      </c>
      <c r="D31" s="15" t="s">
        <v>36</v>
      </c>
      <c r="E31" s="15">
        <v>976.35599999999999</v>
      </c>
      <c r="F31" s="15">
        <v>970.01800000000003</v>
      </c>
      <c r="G31" s="15" t="s">
        <v>30</v>
      </c>
      <c r="H31" s="15" t="s">
        <v>30</v>
      </c>
      <c r="I31" s="15" t="s">
        <v>30</v>
      </c>
    </row>
    <row r="32" spans="1:9" x14ac:dyDescent="0.2">
      <c r="A32" s="11"/>
      <c r="B32" s="11"/>
      <c r="C32" s="11"/>
      <c r="D32" s="11"/>
      <c r="E32" s="11"/>
      <c r="F32" s="11"/>
      <c r="G32" s="11"/>
      <c r="H32" s="11"/>
      <c r="I32" s="11"/>
    </row>
    <row r="33" spans="1:255" x14ac:dyDescent="0.2">
      <c r="A33" s="9" t="s">
        <v>37</v>
      </c>
      <c r="B33" s="15">
        <v>410.60500000000002</v>
      </c>
      <c r="C33" s="15">
        <v>1000.833</v>
      </c>
      <c r="D33" s="15">
        <v>844.05899999999997</v>
      </c>
      <c r="E33" s="15">
        <v>125.976</v>
      </c>
      <c r="F33" s="15">
        <v>654.27300000000002</v>
      </c>
      <c r="G33" s="17">
        <v>438.23531000000003</v>
      </c>
      <c r="H33" s="17">
        <v>483.21199999999999</v>
      </c>
      <c r="I33" s="17">
        <v>503.74617999999998</v>
      </c>
    </row>
    <row r="34" spans="1:255" x14ac:dyDescent="0.2">
      <c r="A34" s="10" t="s">
        <v>31</v>
      </c>
      <c r="B34" s="16">
        <v>0.35431000000000001</v>
      </c>
      <c r="C34" s="16">
        <v>0.94606199999999996</v>
      </c>
      <c r="D34" s="16">
        <v>0.61854600000000004</v>
      </c>
      <c r="E34" s="16">
        <v>7.2915999999999995E-2</v>
      </c>
      <c r="F34" s="16">
        <v>0.36686800000000003</v>
      </c>
      <c r="G34" s="20">
        <v>0.23436854721200001</v>
      </c>
      <c r="H34" s="20">
        <v>0.248353986429</v>
      </c>
      <c r="I34" s="20">
        <v>0.233414589565</v>
      </c>
    </row>
    <row r="35" spans="1:255" x14ac:dyDescent="0.2">
      <c r="A35" s="11"/>
      <c r="B35" s="11"/>
      <c r="C35" s="11"/>
      <c r="D35" s="11"/>
      <c r="E35" s="11"/>
      <c r="F35" s="11"/>
      <c r="G35" s="11"/>
      <c r="H35" s="11"/>
      <c r="I35" s="11"/>
    </row>
    <row r="36" spans="1:255" x14ac:dyDescent="0.2">
      <c r="A36" s="9" t="s">
        <v>38</v>
      </c>
      <c r="B36" s="17">
        <v>0.799952</v>
      </c>
      <c r="C36" s="17">
        <v>2.250502</v>
      </c>
      <c r="D36" s="17">
        <v>1.600922</v>
      </c>
      <c r="E36" s="17">
        <v>0.16</v>
      </c>
      <c r="F36" s="17">
        <v>1.0171619999999999</v>
      </c>
      <c r="G36" s="17">
        <v>0.65956999999999999</v>
      </c>
      <c r="H36" s="17">
        <v>0.7349</v>
      </c>
      <c r="I36" s="17">
        <v>0.78185000000000004</v>
      </c>
    </row>
    <row r="37" spans="1:255" x14ac:dyDescent="0.2">
      <c r="A37" s="10" t="s">
        <v>28</v>
      </c>
      <c r="B37" s="16">
        <v>-0.21573400000000001</v>
      </c>
      <c r="C37" s="16">
        <v>1.813296</v>
      </c>
      <c r="D37" s="16">
        <v>-0.28863800000000001</v>
      </c>
      <c r="E37" s="16">
        <v>-0.90005800000000002</v>
      </c>
      <c r="F37" s="16">
        <v>5.3572620000000004</v>
      </c>
      <c r="G37" s="20">
        <v>-0.35336274509799998</v>
      </c>
      <c r="H37" s="20">
        <v>0.11421077368599999</v>
      </c>
      <c r="I37" s="20">
        <v>6.3886243026000003E-2</v>
      </c>
    </row>
    <row r="38" spans="1:255" x14ac:dyDescent="0.2">
      <c r="A38" s="11"/>
      <c r="B38" s="11" t="s">
        <v>39</v>
      </c>
      <c r="C38" s="11" t="s">
        <v>39</v>
      </c>
      <c r="D38" s="11" t="s">
        <v>39</v>
      </c>
      <c r="E38" s="11" t="s">
        <v>39</v>
      </c>
      <c r="F38" s="11" t="s">
        <v>39</v>
      </c>
      <c r="G38" s="11" t="s">
        <v>39</v>
      </c>
      <c r="H38" s="11" t="s">
        <v>39</v>
      </c>
      <c r="I38" s="11" t="s">
        <v>39</v>
      </c>
    </row>
    <row r="39" spans="1:255" x14ac:dyDescent="0.2">
      <c r="A39" s="11" t="s">
        <v>25</v>
      </c>
      <c r="B39" s="18" t="s">
        <v>26</v>
      </c>
      <c r="C39" s="18" t="s">
        <v>26</v>
      </c>
      <c r="D39" s="18" t="s">
        <v>26</v>
      </c>
      <c r="E39" s="18" t="s">
        <v>26</v>
      </c>
      <c r="F39" s="18" t="s">
        <v>26</v>
      </c>
      <c r="G39" s="18" t="s">
        <v>26</v>
      </c>
      <c r="H39" s="18" t="s">
        <v>26</v>
      </c>
      <c r="I39" s="18" t="s">
        <v>26</v>
      </c>
    </row>
    <row r="40" spans="1:255" x14ac:dyDescent="0.2">
      <c r="A40" s="11" t="s">
        <v>40</v>
      </c>
      <c r="B40" s="19">
        <v>1</v>
      </c>
      <c r="C40" s="19">
        <v>1</v>
      </c>
      <c r="D40" s="19">
        <v>1</v>
      </c>
      <c r="E40" s="19">
        <v>1</v>
      </c>
      <c r="F40" s="19">
        <v>1</v>
      </c>
      <c r="G40" s="19">
        <v>1</v>
      </c>
      <c r="H40" s="19">
        <v>1</v>
      </c>
      <c r="I40" s="19">
        <v>1</v>
      </c>
    </row>
    <row r="41" spans="1:255" x14ac:dyDescent="0.2">
      <c r="A41" s="11" t="s">
        <v>41</v>
      </c>
      <c r="B41" s="18" t="s">
        <v>42</v>
      </c>
      <c r="C41" s="18" t="s">
        <v>42</v>
      </c>
      <c r="D41" s="18" t="s">
        <v>42</v>
      </c>
      <c r="E41" s="18" t="s">
        <v>42</v>
      </c>
      <c r="F41" s="18" t="s">
        <v>42</v>
      </c>
      <c r="G41" s="18" t="s">
        <v>43</v>
      </c>
      <c r="H41" s="18" t="s">
        <v>43</v>
      </c>
      <c r="I41" s="18" t="s">
        <v>43</v>
      </c>
    </row>
    <row r="42" spans="1:255" x14ac:dyDescent="0.2">
      <c r="A42" s="12"/>
      <c r="B42" s="12"/>
      <c r="C42" s="12"/>
      <c r="D42" s="12"/>
      <c r="E42" s="12"/>
      <c r="F42" s="12"/>
      <c r="G42" s="12"/>
      <c r="H42" s="12"/>
      <c r="I42" s="12"/>
    </row>
    <row r="43" spans="1:255" x14ac:dyDescent="0.2">
      <c r="A43" t="s">
        <v>44</v>
      </c>
    </row>
    <row r="44" spans="1:255" x14ac:dyDescent="0.2">
      <c r="A44" t="s">
        <v>45</v>
      </c>
    </row>
    <row r="45" spans="1:255" x14ac:dyDescent="0.2">
      <c r="A45" t="s">
        <v>46</v>
      </c>
    </row>
    <row r="46" spans="1:255" x14ac:dyDescent="0.2">
      <c r="A46" t="s">
        <v>47</v>
      </c>
    </row>
    <row r="48" spans="1:255" x14ac:dyDescent="0.2">
      <c r="A48" s="6" t="s">
        <v>48</v>
      </c>
      <c r="B48" s="6"/>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5"/>
      <c r="BJ48" s="75"/>
      <c r="BK48" s="75"/>
      <c r="BL48" s="75"/>
      <c r="BM48" s="75"/>
      <c r="BN48" s="75"/>
      <c r="BO48" s="75"/>
      <c r="BP48" s="75"/>
      <c r="BQ48" s="75"/>
      <c r="BR48" s="75"/>
      <c r="BS48" s="75"/>
      <c r="BT48" s="75"/>
      <c r="BU48" s="75"/>
      <c r="BV48" s="75"/>
      <c r="BW48" s="75"/>
      <c r="BX48" s="75"/>
      <c r="BY48" s="75"/>
      <c r="BZ48" s="75"/>
      <c r="CA48" s="75"/>
      <c r="CB48" s="75"/>
      <c r="CC48" s="75"/>
      <c r="CD48" s="75"/>
      <c r="CE48" s="75"/>
      <c r="CF48" s="75"/>
      <c r="CG48" s="75"/>
      <c r="CH48" s="75"/>
      <c r="CI48" s="75"/>
      <c r="CJ48" s="75"/>
      <c r="CK48" s="75"/>
      <c r="CL48" s="75"/>
      <c r="CM48" s="75"/>
      <c r="CN48" s="75"/>
      <c r="CO48" s="75"/>
      <c r="CP48" s="75"/>
      <c r="CQ48" s="75"/>
      <c r="CR48" s="75"/>
      <c r="CS48" s="75"/>
      <c r="CT48" s="75"/>
      <c r="CU48" s="75"/>
      <c r="CV48" s="75"/>
      <c r="CW48" s="75"/>
      <c r="CX48" s="75"/>
      <c r="CY48" s="75"/>
      <c r="CZ48" s="75"/>
      <c r="DA48" s="75"/>
      <c r="DB48" s="75"/>
      <c r="DC48" s="75"/>
      <c r="DD48" s="75"/>
      <c r="DE48" s="75"/>
      <c r="DF48" s="75"/>
      <c r="DG48" s="75"/>
      <c r="DH48" s="75"/>
      <c r="DI48" s="75"/>
      <c r="DJ48" s="75"/>
      <c r="DK48" s="75"/>
      <c r="DL48" s="75"/>
      <c r="DM48" s="75"/>
      <c r="DN48" s="75"/>
      <c r="DO48" s="75"/>
      <c r="DP48" s="75"/>
      <c r="DQ48" s="75"/>
      <c r="DR48" s="75"/>
      <c r="DS48" s="75"/>
      <c r="DT48" s="75"/>
      <c r="DU48" s="75"/>
      <c r="DV48" s="75"/>
      <c r="DW48" s="75"/>
      <c r="DX48" s="75"/>
      <c r="DY48" s="75"/>
      <c r="DZ48" s="75"/>
      <c r="EA48" s="75"/>
      <c r="EB48" s="75"/>
      <c r="EC48" s="75"/>
      <c r="ED48" s="75"/>
      <c r="EE48" s="75"/>
      <c r="EF48" s="75"/>
      <c r="EG48" s="75"/>
      <c r="EH48" s="75"/>
      <c r="EI48" s="75"/>
      <c r="EJ48" s="75"/>
      <c r="EK48" s="75"/>
      <c r="EL48" s="75"/>
      <c r="EM48" s="75"/>
      <c r="EN48" s="75"/>
      <c r="EO48" s="75"/>
      <c r="EP48" s="75"/>
      <c r="EQ48" s="75"/>
      <c r="ER48" s="75"/>
      <c r="ES48" s="75"/>
      <c r="ET48" s="75"/>
      <c r="EU48" s="75"/>
      <c r="EV48" s="75"/>
      <c r="EW48" s="75"/>
      <c r="EX48" s="75"/>
      <c r="EY48" s="75"/>
      <c r="EZ48" s="75"/>
      <c r="FA48" s="75"/>
      <c r="FB48" s="75"/>
      <c r="FC48" s="75"/>
      <c r="FD48" s="75"/>
      <c r="FE48" s="75"/>
      <c r="FF48" s="75"/>
      <c r="FG48" s="75"/>
      <c r="FH48" s="75"/>
      <c r="FI48" s="75"/>
      <c r="FJ48" s="75"/>
      <c r="FK48" s="75"/>
      <c r="FL48" s="75"/>
      <c r="FM48" s="75"/>
      <c r="FN48" s="75"/>
      <c r="FO48" s="75"/>
      <c r="FP48" s="75"/>
      <c r="FQ48" s="75"/>
      <c r="FR48" s="75"/>
      <c r="FS48" s="75"/>
      <c r="FT48" s="75"/>
      <c r="FU48" s="75"/>
      <c r="FV48" s="75"/>
      <c r="FW48" s="75"/>
      <c r="FX48" s="75"/>
      <c r="FY48" s="75"/>
      <c r="FZ48" s="75"/>
      <c r="GA48" s="75"/>
      <c r="GB48" s="75"/>
      <c r="GC48" s="75"/>
      <c r="GD48" s="75"/>
      <c r="GE48" s="75"/>
      <c r="GF48" s="75"/>
      <c r="GG48" s="75"/>
      <c r="GH48" s="75"/>
      <c r="GI48" s="75"/>
      <c r="GJ48" s="75"/>
      <c r="GK48" s="75"/>
      <c r="GL48" s="75"/>
      <c r="GM48" s="75"/>
      <c r="GN48" s="75"/>
      <c r="GO48" s="75"/>
      <c r="GP48" s="75"/>
      <c r="GQ48" s="75"/>
      <c r="GR48" s="75"/>
      <c r="GS48" s="75"/>
      <c r="GT48" s="75"/>
      <c r="GU48" s="75"/>
      <c r="GV48" s="75"/>
      <c r="GW48" s="75"/>
      <c r="GX48" s="75"/>
      <c r="GY48" s="75"/>
      <c r="GZ48" s="75"/>
      <c r="HA48" s="75"/>
      <c r="HB48" s="75"/>
      <c r="HC48" s="75"/>
      <c r="HD48" s="75"/>
      <c r="HE48" s="75"/>
      <c r="HF48" s="75"/>
      <c r="HG48" s="75"/>
      <c r="HH48" s="75"/>
      <c r="HI48" s="75"/>
      <c r="HJ48" s="75"/>
      <c r="HK48" s="75"/>
      <c r="HL48" s="75"/>
      <c r="HM48" s="75"/>
      <c r="HN48" s="75"/>
      <c r="HO48" s="75"/>
      <c r="HP48" s="75"/>
      <c r="HQ48" s="75"/>
      <c r="HR48" s="75"/>
      <c r="HS48" s="75"/>
      <c r="HT48" s="75"/>
      <c r="HU48" s="75"/>
      <c r="HV48" s="75"/>
      <c r="HW48" s="75"/>
      <c r="HX48" s="75"/>
      <c r="HY48" s="75"/>
      <c r="HZ48" s="75"/>
      <c r="IA48" s="75"/>
      <c r="IB48" s="75"/>
      <c r="IC48" s="75"/>
      <c r="ID48" s="75"/>
      <c r="IE48" s="75"/>
      <c r="IF48" s="75"/>
      <c r="IG48" s="75"/>
      <c r="IH48" s="75"/>
      <c r="II48" s="75"/>
      <c r="IJ48" s="75"/>
      <c r="IK48" s="75"/>
      <c r="IL48" s="75"/>
      <c r="IM48" s="75"/>
      <c r="IN48" s="75"/>
      <c r="IO48" s="75"/>
      <c r="IP48" s="75"/>
      <c r="IQ48" s="75"/>
      <c r="IR48" s="75"/>
      <c r="IS48" s="75"/>
      <c r="IT48" s="75"/>
      <c r="IU48" s="75"/>
    </row>
    <row r="49" spans="1:2" x14ac:dyDescent="0.2">
      <c r="A49" s="8" t="s">
        <v>25</v>
      </c>
      <c r="B49" s="14" t="s">
        <v>26</v>
      </c>
    </row>
    <row r="50" spans="1:2" x14ac:dyDescent="0.2">
      <c r="A50" s="11" t="s">
        <v>49</v>
      </c>
      <c r="B50" s="22">
        <v>19.61</v>
      </c>
    </row>
    <row r="51" spans="1:2" x14ac:dyDescent="0.2">
      <c r="A51" s="11" t="s">
        <v>50</v>
      </c>
      <c r="B51" s="19">
        <v>674.13285900000005</v>
      </c>
    </row>
    <row r="52" spans="1:2" x14ac:dyDescent="0.2">
      <c r="A52" s="11"/>
      <c r="B52" s="11"/>
    </row>
    <row r="53" spans="1:2" x14ac:dyDescent="0.2">
      <c r="A53" s="9" t="s">
        <v>51</v>
      </c>
      <c r="B53" s="15">
        <v>13219.745364</v>
      </c>
    </row>
    <row r="54" spans="1:2" x14ac:dyDescent="0.2">
      <c r="A54" s="11" t="s">
        <v>52</v>
      </c>
      <c r="B54" s="19">
        <v>783.75699999999995</v>
      </c>
    </row>
    <row r="55" spans="1:2" x14ac:dyDescent="0.2">
      <c r="A55" s="11" t="s">
        <v>53</v>
      </c>
      <c r="B55" s="19">
        <v>7751.2129999999997</v>
      </c>
    </row>
    <row r="56" spans="1:2" x14ac:dyDescent="0.2">
      <c r="A56" s="11" t="s">
        <v>54</v>
      </c>
      <c r="B56" s="19">
        <v>1.9E-2</v>
      </c>
    </row>
    <row r="57" spans="1:2" x14ac:dyDescent="0.2">
      <c r="A57" s="11" t="s">
        <v>55</v>
      </c>
      <c r="B57" s="19">
        <v>200.27</v>
      </c>
    </row>
    <row r="58" spans="1:2" x14ac:dyDescent="0.2">
      <c r="A58" s="11" t="s">
        <v>56</v>
      </c>
      <c r="B58" s="19" t="s">
        <v>30</v>
      </c>
    </row>
    <row r="59" spans="1:2" x14ac:dyDescent="0.2">
      <c r="A59" s="9" t="s">
        <v>57</v>
      </c>
      <c r="B59" s="15">
        <v>20387.490364000001</v>
      </c>
    </row>
    <row r="60" spans="1:2" x14ac:dyDescent="0.2">
      <c r="A60" s="11"/>
      <c r="B60" s="11"/>
    </row>
    <row r="61" spans="1:2" x14ac:dyDescent="0.2">
      <c r="A61" s="9" t="s">
        <v>58</v>
      </c>
      <c r="B61" s="15" t="s">
        <v>30</v>
      </c>
    </row>
    <row r="62" spans="1:2" x14ac:dyDescent="0.2">
      <c r="A62" s="9" t="s">
        <v>59</v>
      </c>
      <c r="B62" s="15" t="s">
        <v>30</v>
      </c>
    </row>
    <row r="63" spans="1:2" x14ac:dyDescent="0.2">
      <c r="A63" s="11" t="s">
        <v>60</v>
      </c>
      <c r="B63" s="19">
        <v>9525.4459999999999</v>
      </c>
    </row>
    <row r="64" spans="1:2" x14ac:dyDescent="0.2">
      <c r="A64" s="11" t="s">
        <v>54</v>
      </c>
      <c r="B64" s="19">
        <v>1.9E-2</v>
      </c>
    </row>
    <row r="65" spans="1:255" x14ac:dyDescent="0.2">
      <c r="A65" s="11" t="s">
        <v>55</v>
      </c>
      <c r="B65" s="19">
        <v>200.27</v>
      </c>
    </row>
    <row r="66" spans="1:255" x14ac:dyDescent="0.2">
      <c r="A66" s="11" t="s">
        <v>53</v>
      </c>
      <c r="B66" s="19">
        <v>7751.2129999999997</v>
      </c>
    </row>
    <row r="67" spans="1:255" x14ac:dyDescent="0.2">
      <c r="A67" s="9" t="s">
        <v>61</v>
      </c>
      <c r="B67" s="15">
        <v>17476.948</v>
      </c>
    </row>
    <row r="68" spans="1:255" x14ac:dyDescent="0.2">
      <c r="A68" s="11"/>
      <c r="B68" s="11"/>
    </row>
    <row r="69" spans="1:255" ht="61.2" x14ac:dyDescent="0.2">
      <c r="A69" s="12" t="s">
        <v>62</v>
      </c>
      <c r="B69" s="12"/>
    </row>
    <row r="70" spans="1:255" x14ac:dyDescent="0.2">
      <c r="A70" t="s">
        <v>63</v>
      </c>
    </row>
    <row r="71" spans="1:255" ht="199.95" customHeight="1" x14ac:dyDescent="0.2">
      <c r="A71" s="23"/>
    </row>
    <row r="73" spans="1:255" x14ac:dyDescent="0.2">
      <c r="A73" t="s">
        <v>64</v>
      </c>
    </row>
    <row r="74" spans="1:255" x14ac:dyDescent="0.2">
      <c r="A74" t="s">
        <v>65</v>
      </c>
    </row>
    <row r="75" spans="1:255" x14ac:dyDescent="0.2">
      <c r="A75" t="s">
        <v>66</v>
      </c>
    </row>
    <row r="76" spans="1:255" x14ac:dyDescent="0.2">
      <c r="A76" t="s">
        <v>67</v>
      </c>
    </row>
    <row r="78" spans="1:255" x14ac:dyDescent="0.2">
      <c r="A78" s="6" t="s">
        <v>68</v>
      </c>
      <c r="B78" s="6"/>
      <c r="C78" s="6"/>
      <c r="D78" s="6"/>
      <c r="E78" s="6"/>
      <c r="F78" s="6"/>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5"/>
      <c r="CG78" s="75"/>
      <c r="CH78" s="75"/>
      <c r="CI78" s="75"/>
      <c r="CJ78" s="75"/>
      <c r="CK78" s="75"/>
      <c r="CL78" s="75"/>
      <c r="CM78" s="75"/>
      <c r="CN78" s="75"/>
      <c r="CO78" s="75"/>
      <c r="CP78" s="75"/>
      <c r="CQ78" s="75"/>
      <c r="CR78" s="75"/>
      <c r="CS78" s="75"/>
      <c r="CT78" s="75"/>
      <c r="CU78" s="75"/>
      <c r="CV78" s="75"/>
      <c r="CW78" s="75"/>
      <c r="CX78" s="75"/>
      <c r="CY78" s="75"/>
      <c r="CZ78" s="75"/>
      <c r="DA78" s="75"/>
      <c r="DB78" s="75"/>
      <c r="DC78" s="75"/>
      <c r="DD78" s="75"/>
      <c r="DE78" s="75"/>
      <c r="DF78" s="75"/>
      <c r="DG78" s="75"/>
      <c r="DH78" s="75"/>
      <c r="DI78" s="75"/>
      <c r="DJ78" s="75"/>
      <c r="DK78" s="75"/>
      <c r="DL78" s="75"/>
      <c r="DM78" s="75"/>
      <c r="DN78" s="75"/>
      <c r="DO78" s="75"/>
      <c r="DP78" s="75"/>
      <c r="DQ78" s="75"/>
      <c r="DR78" s="75"/>
      <c r="DS78" s="75"/>
      <c r="DT78" s="75"/>
      <c r="DU78" s="75"/>
      <c r="DV78" s="75"/>
      <c r="DW78" s="75"/>
      <c r="DX78" s="75"/>
      <c r="DY78" s="75"/>
      <c r="DZ78" s="75"/>
      <c r="EA78" s="75"/>
      <c r="EB78" s="75"/>
      <c r="EC78" s="75"/>
      <c r="ED78" s="75"/>
      <c r="EE78" s="75"/>
      <c r="EF78" s="75"/>
      <c r="EG78" s="75"/>
      <c r="EH78" s="75"/>
      <c r="EI78" s="75"/>
      <c r="EJ78" s="75"/>
      <c r="EK78" s="75"/>
      <c r="EL78" s="75"/>
      <c r="EM78" s="75"/>
      <c r="EN78" s="75"/>
      <c r="EO78" s="75"/>
      <c r="EP78" s="75"/>
      <c r="EQ78" s="75"/>
      <c r="ER78" s="75"/>
      <c r="ES78" s="75"/>
      <c r="ET78" s="75"/>
      <c r="EU78" s="75"/>
      <c r="EV78" s="75"/>
      <c r="EW78" s="75"/>
      <c r="EX78" s="75"/>
      <c r="EY78" s="75"/>
      <c r="EZ78" s="75"/>
      <c r="FA78" s="75"/>
      <c r="FB78" s="75"/>
      <c r="FC78" s="75"/>
      <c r="FD78" s="75"/>
      <c r="FE78" s="75"/>
      <c r="FF78" s="75"/>
      <c r="FG78" s="75"/>
      <c r="FH78" s="75"/>
      <c r="FI78" s="75"/>
      <c r="FJ78" s="75"/>
      <c r="FK78" s="75"/>
      <c r="FL78" s="75"/>
      <c r="FM78" s="75"/>
      <c r="FN78" s="75"/>
      <c r="FO78" s="75"/>
      <c r="FP78" s="75"/>
      <c r="FQ78" s="75"/>
      <c r="FR78" s="75"/>
      <c r="FS78" s="75"/>
      <c r="FT78" s="75"/>
      <c r="FU78" s="75"/>
      <c r="FV78" s="75"/>
      <c r="FW78" s="75"/>
      <c r="FX78" s="75"/>
      <c r="FY78" s="75"/>
      <c r="FZ78" s="75"/>
      <c r="GA78" s="75"/>
      <c r="GB78" s="75"/>
      <c r="GC78" s="75"/>
      <c r="GD78" s="75"/>
      <c r="GE78" s="75"/>
      <c r="GF78" s="75"/>
      <c r="GG78" s="75"/>
      <c r="GH78" s="75"/>
      <c r="GI78" s="75"/>
      <c r="GJ78" s="75"/>
      <c r="GK78" s="75"/>
      <c r="GL78" s="75"/>
      <c r="GM78" s="75"/>
      <c r="GN78" s="75"/>
      <c r="GO78" s="75"/>
      <c r="GP78" s="75"/>
      <c r="GQ78" s="75"/>
      <c r="GR78" s="75"/>
      <c r="GS78" s="75"/>
      <c r="GT78" s="75"/>
      <c r="GU78" s="75"/>
      <c r="GV78" s="75"/>
      <c r="GW78" s="75"/>
      <c r="GX78" s="75"/>
      <c r="GY78" s="75"/>
      <c r="GZ78" s="75"/>
      <c r="HA78" s="75"/>
      <c r="HB78" s="75"/>
      <c r="HC78" s="75"/>
      <c r="HD78" s="75"/>
      <c r="HE78" s="75"/>
      <c r="HF78" s="75"/>
      <c r="HG78" s="75"/>
      <c r="HH78" s="75"/>
      <c r="HI78" s="75"/>
      <c r="HJ78" s="75"/>
      <c r="HK78" s="75"/>
      <c r="HL78" s="75"/>
      <c r="HM78" s="75"/>
      <c r="HN78" s="75"/>
      <c r="HO78" s="75"/>
      <c r="HP78" s="75"/>
      <c r="HQ78" s="75"/>
      <c r="HR78" s="75"/>
      <c r="HS78" s="75"/>
      <c r="HT78" s="75"/>
      <c r="HU78" s="75"/>
      <c r="HV78" s="75"/>
      <c r="HW78" s="75"/>
      <c r="HX78" s="75"/>
      <c r="HY78" s="75"/>
      <c r="HZ78" s="75"/>
      <c r="IA78" s="75"/>
      <c r="IB78" s="75"/>
      <c r="IC78" s="75"/>
      <c r="ID78" s="75"/>
      <c r="IE78" s="75"/>
      <c r="IF78" s="75"/>
      <c r="IG78" s="75"/>
      <c r="IH78" s="75"/>
      <c r="II78" s="75"/>
      <c r="IJ78" s="75"/>
      <c r="IK78" s="75"/>
      <c r="IL78" s="75"/>
      <c r="IM78" s="75"/>
      <c r="IN78" s="75"/>
      <c r="IO78" s="75"/>
      <c r="IP78" s="75"/>
      <c r="IQ78" s="75"/>
      <c r="IR78" s="75"/>
      <c r="IS78" s="75"/>
      <c r="IT78" s="75"/>
      <c r="IU78" s="75"/>
    </row>
    <row r="79" spans="1:255" ht="20.399999999999999" x14ac:dyDescent="0.2">
      <c r="A79" s="7" t="s">
        <v>16</v>
      </c>
      <c r="B79" s="13" t="s">
        <v>20</v>
      </c>
      <c r="C79" s="13" t="s">
        <v>21</v>
      </c>
      <c r="D79" s="13" t="s">
        <v>69</v>
      </c>
      <c r="E79" s="13" t="s">
        <v>23</v>
      </c>
      <c r="F79" s="13" t="s">
        <v>24</v>
      </c>
    </row>
    <row r="80" spans="1:255" x14ac:dyDescent="0.2">
      <c r="A80" s="9" t="s">
        <v>70</v>
      </c>
      <c r="B80" s="24">
        <v>11.800473999999999</v>
      </c>
      <c r="C80" s="24">
        <v>11.43181</v>
      </c>
      <c r="D80" s="25">
        <v>10.903243963015999</v>
      </c>
      <c r="E80" s="25">
        <v>10.478453567834</v>
      </c>
      <c r="F80" s="25">
        <v>9.4466973343510006</v>
      </c>
    </row>
    <row r="81" spans="1:6" x14ac:dyDescent="0.2">
      <c r="A81" s="11"/>
      <c r="B81" s="11"/>
      <c r="C81" s="11"/>
      <c r="D81" s="11"/>
      <c r="E81" s="11"/>
      <c r="F81" s="11"/>
    </row>
    <row r="82" spans="1:6" x14ac:dyDescent="0.2">
      <c r="A82" s="9" t="s">
        <v>71</v>
      </c>
      <c r="B82" s="24">
        <v>16.939167000000001</v>
      </c>
      <c r="C82" s="24">
        <v>17.289650999999999</v>
      </c>
      <c r="D82" s="25">
        <v>15.655605996593</v>
      </c>
      <c r="E82" s="25">
        <v>15.113973174481</v>
      </c>
      <c r="F82" s="25">
        <v>14.171130031980001</v>
      </c>
    </row>
    <row r="83" spans="1:6" x14ac:dyDescent="0.2">
      <c r="A83" s="11"/>
      <c r="B83" s="11"/>
      <c r="C83" s="11"/>
      <c r="D83" s="11"/>
      <c r="E83" s="11"/>
      <c r="F83" s="11"/>
    </row>
    <row r="84" spans="1:6" x14ac:dyDescent="0.2">
      <c r="A84" s="9" t="s">
        <v>72</v>
      </c>
      <c r="B84" s="24">
        <v>29.186485999999999</v>
      </c>
      <c r="C84" s="24">
        <v>30.128523999999999</v>
      </c>
      <c r="D84" s="25">
        <v>29.749869494487999</v>
      </c>
      <c r="E84" s="25">
        <v>28.266212661497001</v>
      </c>
      <c r="F84" s="25">
        <v>25.435629244440999</v>
      </c>
    </row>
    <row r="85" spans="1:6" x14ac:dyDescent="0.2">
      <c r="A85" s="11"/>
      <c r="B85" s="11"/>
      <c r="C85" s="11"/>
      <c r="D85" s="11"/>
      <c r="E85" s="11"/>
      <c r="F85" s="11"/>
    </row>
    <row r="86" spans="1:6" x14ac:dyDescent="0.2">
      <c r="A86" s="9" t="s">
        <v>73</v>
      </c>
      <c r="B86" s="24">
        <v>122.5625</v>
      </c>
      <c r="C86" s="24">
        <v>19.279131</v>
      </c>
      <c r="D86" s="25">
        <v>29.73149172946</v>
      </c>
      <c r="E86" s="25">
        <v>26.683902571779001</v>
      </c>
      <c r="F86" s="25">
        <v>25.081537379293</v>
      </c>
    </row>
    <row r="87" spans="1:6" x14ac:dyDescent="0.2">
      <c r="A87" s="11"/>
      <c r="B87" s="11"/>
      <c r="C87" s="11"/>
      <c r="D87" s="11"/>
      <c r="E87" s="11"/>
      <c r="F87" s="11"/>
    </row>
    <row r="88" spans="1:6" x14ac:dyDescent="0.2">
      <c r="A88" s="9" t="s">
        <v>74</v>
      </c>
      <c r="B88" s="24">
        <v>1.274602</v>
      </c>
      <c r="C88" s="24">
        <v>1.2761260000000001</v>
      </c>
      <c r="D88" s="25">
        <v>1.284716330572</v>
      </c>
      <c r="E88" s="25">
        <v>1.309919988671</v>
      </c>
      <c r="F88" s="25">
        <v>1.324304740011</v>
      </c>
    </row>
    <row r="89" spans="1:6" x14ac:dyDescent="0.2">
      <c r="A89" s="11"/>
      <c r="B89" s="11"/>
      <c r="C89" s="11"/>
      <c r="D89" s="11"/>
      <c r="E89" s="11"/>
      <c r="F89" s="11"/>
    </row>
    <row r="90" spans="1:6" x14ac:dyDescent="0.2">
      <c r="A90" s="9" t="s">
        <v>75</v>
      </c>
      <c r="B90" s="24">
        <v>1.3242400000000001</v>
      </c>
      <c r="C90" s="24">
        <v>1.3178749999999999</v>
      </c>
      <c r="D90" s="18" t="s">
        <v>30</v>
      </c>
      <c r="E90" s="18" t="s">
        <v>30</v>
      </c>
      <c r="F90" s="18" t="s">
        <v>30</v>
      </c>
    </row>
    <row r="91" spans="1:6" x14ac:dyDescent="0.2">
      <c r="A91" s="11"/>
      <c r="B91" s="11"/>
      <c r="C91" s="11"/>
      <c r="D91" s="11"/>
      <c r="E91" s="11"/>
      <c r="F91" s="11"/>
    </row>
    <row r="92" spans="1:6" x14ac:dyDescent="0.2">
      <c r="A92" s="12"/>
      <c r="B92" s="12"/>
      <c r="C92" s="12"/>
      <c r="D92" s="12"/>
      <c r="E92" s="12"/>
      <c r="F92" s="12"/>
    </row>
    <row r="93" spans="1:6" x14ac:dyDescent="0.2">
      <c r="A93" s="26" t="s">
        <v>76</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tabSelected="1" zoomScale="85" zoomScaleNormal="85" workbookViewId="0">
      <selection activeCell="A10" sqref="A10"/>
    </sheetView>
    <sheetView workbookViewId="1"/>
    <sheetView workbookViewId="2"/>
  </sheetViews>
  <sheetFormatPr defaultRowHeight="10.199999999999999" x14ac:dyDescent="0.2"/>
  <cols>
    <col min="1" max="1" width="29.88671875" bestFit="1" customWidth="1"/>
    <col min="8" max="8" width="14.21875" bestFit="1" customWidth="1"/>
    <col min="9" max="9" width="14.44140625" customWidth="1"/>
    <col min="10" max="12" width="14.5546875" bestFit="1" customWidth="1"/>
  </cols>
  <sheetData>
    <row r="1" spans="1:13" ht="13.8" x14ac:dyDescent="0.25">
      <c r="A1" s="79" t="s">
        <v>801</v>
      </c>
      <c r="B1" s="96" t="s">
        <v>802</v>
      </c>
      <c r="C1" s="96"/>
      <c r="D1" s="96"/>
      <c r="E1" s="96"/>
      <c r="F1" s="96"/>
      <c r="G1" s="96"/>
      <c r="H1" s="96" t="s">
        <v>803</v>
      </c>
      <c r="I1" s="96"/>
      <c r="J1" s="96"/>
      <c r="K1" s="96"/>
      <c r="L1" s="96"/>
      <c r="M1" s="85"/>
    </row>
    <row r="2" spans="1:13" ht="13.2" x14ac:dyDescent="0.25">
      <c r="A2" s="80" t="s">
        <v>804</v>
      </c>
      <c r="B2" s="81"/>
      <c r="C2" s="81"/>
      <c r="D2" s="81"/>
      <c r="E2" s="81"/>
      <c r="F2" s="81"/>
      <c r="G2" s="81"/>
      <c r="H2" s="81"/>
      <c r="I2" s="81"/>
      <c r="J2" s="81"/>
      <c r="K2" s="81"/>
      <c r="L2" s="81"/>
      <c r="M2" s="85"/>
    </row>
    <row r="3" spans="1:13" ht="13.2" x14ac:dyDescent="0.25">
      <c r="A3" s="81" t="s">
        <v>805</v>
      </c>
      <c r="B3" s="81">
        <v>2018</v>
      </c>
      <c r="C3" s="81">
        <v>2019</v>
      </c>
      <c r="D3" s="81">
        <v>2020</v>
      </c>
      <c r="E3" s="81">
        <v>2021</v>
      </c>
      <c r="F3" s="81">
        <v>2022</v>
      </c>
      <c r="G3" s="81">
        <v>2023</v>
      </c>
      <c r="H3" s="82" t="s">
        <v>806</v>
      </c>
      <c r="I3" s="82" t="s">
        <v>807</v>
      </c>
      <c r="J3" s="82" t="s">
        <v>808</v>
      </c>
      <c r="K3" s="82" t="s">
        <v>809</v>
      </c>
      <c r="L3" s="82" t="s">
        <v>810</v>
      </c>
      <c r="M3" s="85"/>
    </row>
    <row r="4" spans="1:13" ht="13.2" x14ac:dyDescent="0.2">
      <c r="A4" s="83" t="s">
        <v>39</v>
      </c>
      <c r="B4" s="84"/>
      <c r="C4" s="84"/>
      <c r="D4" s="84"/>
      <c r="E4" s="84"/>
      <c r="F4" s="84"/>
      <c r="G4" s="84"/>
      <c r="H4" s="85"/>
      <c r="I4" s="85"/>
      <c r="J4" s="85"/>
      <c r="K4" s="85"/>
      <c r="L4" s="85"/>
      <c r="M4" s="85"/>
    </row>
    <row r="5" spans="1:13" ht="13.2" x14ac:dyDescent="0.2">
      <c r="A5" s="86" t="s">
        <v>811</v>
      </c>
      <c r="B5" s="106">
        <v>7791.0690000000004</v>
      </c>
      <c r="C5" s="106">
        <v>7986.2520000000004</v>
      </c>
      <c r="D5" s="106">
        <v>8149.7190000000001</v>
      </c>
      <c r="E5" s="106">
        <v>8971.3369999999995</v>
      </c>
      <c r="F5" s="106">
        <v>10419.294</v>
      </c>
      <c r="G5" s="106">
        <v>11164.992</v>
      </c>
      <c r="H5" s="106">
        <f>(1+H6)*G5</f>
        <v>11611.591680000001</v>
      </c>
      <c r="I5" s="106">
        <f>(1+I6)*H5</f>
        <v>12076.055347200001</v>
      </c>
      <c r="J5" s="106">
        <f>(1+J6)*I5</f>
        <v>12559.097561088001</v>
      </c>
      <c r="K5" s="106">
        <f>(1+K6)*J5</f>
        <v>13061.461463531521</v>
      </c>
      <c r="L5" s="106">
        <f>(1+L6)*K5</f>
        <v>13583.919922072782</v>
      </c>
      <c r="M5" s="85"/>
    </row>
    <row r="6" spans="1:13" ht="12.6" x14ac:dyDescent="0.2">
      <c r="A6" s="87" t="s">
        <v>812</v>
      </c>
      <c r="B6" s="88"/>
      <c r="C6" s="89">
        <f>(C5-B5)/B5</f>
        <v>2.5052146245913107E-2</v>
      </c>
      <c r="D6" s="89">
        <f>(D5-C5)/C5</f>
        <v>2.0468550203524713E-2</v>
      </c>
      <c r="E6" s="89">
        <f>(E5-D5)/D5</f>
        <v>0.10081550050989482</v>
      </c>
      <c r="F6" s="89">
        <f>(F5-E5)/E5</f>
        <v>0.16139812828344319</v>
      </c>
      <c r="G6" s="89">
        <f>(G5-F5)/F5</f>
        <v>7.1568956591492705E-2</v>
      </c>
      <c r="H6" s="89">
        <v>0.04</v>
      </c>
      <c r="I6" s="89">
        <v>0.04</v>
      </c>
      <c r="J6" s="89">
        <v>0.04</v>
      </c>
      <c r="K6" s="89">
        <v>0.04</v>
      </c>
      <c r="L6" s="89">
        <v>0.04</v>
      </c>
      <c r="M6" s="85"/>
    </row>
    <row r="7" spans="1:13" ht="13.2" x14ac:dyDescent="0.2">
      <c r="A7" s="86" t="s">
        <v>813</v>
      </c>
      <c r="B7" s="90">
        <v>4204.4210000000003</v>
      </c>
      <c r="C7" s="90">
        <v>4363.7740000000003</v>
      </c>
      <c r="D7" s="90">
        <v>4446.241</v>
      </c>
      <c r="E7" s="90">
        <v>4917.5190000000002</v>
      </c>
      <c r="F7" s="90">
        <v>5920.7470000000003</v>
      </c>
      <c r="G7" s="90">
        <v>6166.6490000000003</v>
      </c>
      <c r="H7" s="90">
        <f>H5*H8</f>
        <v>6502.4913408000011</v>
      </c>
      <c r="I7" s="90">
        <f>I5*I8</f>
        <v>6883.3515479039997</v>
      </c>
      <c r="J7" s="90">
        <f>J5*J8</f>
        <v>7158.6856098201606</v>
      </c>
      <c r="K7" s="90">
        <f>K5*K8</f>
        <v>7314.4184195776525</v>
      </c>
      <c r="L7" s="90">
        <f>L5*L8</f>
        <v>7606.9951563607592</v>
      </c>
      <c r="M7" s="85"/>
    </row>
    <row r="8" spans="1:13" ht="13.2" x14ac:dyDescent="0.2">
      <c r="A8" s="87" t="s">
        <v>814</v>
      </c>
      <c r="B8" s="91">
        <f>B7/B5</f>
        <v>0.53964622826469644</v>
      </c>
      <c r="C8" s="91">
        <f>C7/C5</f>
        <v>0.54641075688570806</v>
      </c>
      <c r="D8" s="91">
        <f>D7/D5</f>
        <v>0.54556985339003716</v>
      </c>
      <c r="E8" s="91">
        <f>E7/E5</f>
        <v>0.54813669356083716</v>
      </c>
      <c r="F8" s="91">
        <f>F7/F5</f>
        <v>0.56824838611905959</v>
      </c>
      <c r="G8" s="91">
        <f>G7/G5</f>
        <v>0.55232005540174145</v>
      </c>
      <c r="H8" s="91">
        <v>0.56000000000000005</v>
      </c>
      <c r="I8" s="91">
        <v>0.56999999999999995</v>
      </c>
      <c r="J8" s="91">
        <v>0.56999999999999995</v>
      </c>
      <c r="K8" s="91">
        <v>0.56000000000000005</v>
      </c>
      <c r="L8" s="91">
        <v>0.56000000000000005</v>
      </c>
      <c r="M8" s="85"/>
    </row>
    <row r="9" spans="1:13" ht="13.2" x14ac:dyDescent="0.2">
      <c r="A9" s="92" t="s">
        <v>546</v>
      </c>
      <c r="B9" s="93">
        <v>3586.6480000000001</v>
      </c>
      <c r="C9" s="93">
        <v>3622.4780000000001</v>
      </c>
      <c r="D9" s="93">
        <v>3703.4780000000001</v>
      </c>
      <c r="E9" s="93">
        <v>4053.8180000000002</v>
      </c>
      <c r="F9" s="93">
        <v>4498.5469999999996</v>
      </c>
      <c r="G9" s="93">
        <v>4998.3429999999998</v>
      </c>
      <c r="H9" s="93">
        <f>H5-H7</f>
        <v>5109.1003392000002</v>
      </c>
      <c r="I9" s="93">
        <f>I5-I7</f>
        <v>5192.7037992960013</v>
      </c>
      <c r="J9" s="93">
        <f>J5-J7</f>
        <v>5400.4119512678408</v>
      </c>
      <c r="K9" s="93">
        <f>K5-K7</f>
        <v>5747.0430439538686</v>
      </c>
      <c r="L9" s="93">
        <f>L5-L7</f>
        <v>5976.9247657120231</v>
      </c>
      <c r="M9" s="85"/>
    </row>
    <row r="10" spans="1:13" ht="12.6" x14ac:dyDescent="0.2">
      <c r="A10" s="87" t="s">
        <v>814</v>
      </c>
      <c r="B10" s="94">
        <f>B9/B5</f>
        <v>0.46035377173530356</v>
      </c>
      <c r="C10" s="89">
        <f>C9/C5</f>
        <v>0.45358924311429188</v>
      </c>
      <c r="D10" s="89">
        <f>D9/D5</f>
        <v>0.45443014660996289</v>
      </c>
      <c r="E10" s="89">
        <f>E9/E5</f>
        <v>0.45186330643916289</v>
      </c>
      <c r="F10" s="89">
        <f>F9/F5</f>
        <v>0.43175161388094047</v>
      </c>
      <c r="G10" s="89">
        <f>G9/G5</f>
        <v>0.44767994459825855</v>
      </c>
      <c r="H10" s="89">
        <f>H9/H5</f>
        <v>0.43999999999999995</v>
      </c>
      <c r="I10" s="89">
        <f>I9/I5</f>
        <v>0.43000000000000005</v>
      </c>
      <c r="J10" s="89">
        <f>J9/J5</f>
        <v>0.43</v>
      </c>
      <c r="K10" s="89">
        <f>K9/K5</f>
        <v>0.43999999999999995</v>
      </c>
      <c r="L10" s="89">
        <f>L9/L5</f>
        <v>0.43999999999999995</v>
      </c>
      <c r="M10" s="85"/>
    </row>
    <row r="11" spans="1:13" ht="13.2" x14ac:dyDescent="0.2">
      <c r="A11" s="86" t="s">
        <v>815</v>
      </c>
      <c r="B11" s="90">
        <v>1856.181</v>
      </c>
      <c r="C11" s="90">
        <v>1925.2179999999998</v>
      </c>
      <c r="D11" s="90">
        <v>1898.57</v>
      </c>
      <c r="E11" s="90">
        <v>1998.674</v>
      </c>
      <c r="F11" s="90">
        <v>2247.2510000000002</v>
      </c>
      <c r="G11" s="90">
        <v>2466.1260000000002</v>
      </c>
      <c r="H11" s="90">
        <f>H5*H12</f>
        <v>3654190.5249471231</v>
      </c>
      <c r="I11" s="90">
        <f>I5*I12</f>
        <v>3800358.1459450079</v>
      </c>
      <c r="J11" s="90">
        <f>J5*J12</f>
        <v>3952372.4717828082</v>
      </c>
      <c r="K11" s="90">
        <f>K5*K12</f>
        <v>4110467.3706541206</v>
      </c>
      <c r="L11" s="90">
        <f>L5*L12</f>
        <v>4274886.0654802853</v>
      </c>
      <c r="M11" s="85"/>
    </row>
    <row r="12" spans="1:13" ht="12.6" x14ac:dyDescent="0.2">
      <c r="A12" s="87" t="s">
        <v>814</v>
      </c>
      <c r="B12" s="89">
        <f>B11/B5</f>
        <v>0.23824471327362137</v>
      </c>
      <c r="C12" s="89">
        <f>C11/C5</f>
        <v>0.24106652281946522</v>
      </c>
      <c r="D12" s="89">
        <f>D11/D5</f>
        <v>0.23296140639941082</v>
      </c>
      <c r="E12" s="89">
        <f>E11/E5</f>
        <v>0.22278440771983041</v>
      </c>
      <c r="F12" s="89">
        <f>F11/F5</f>
        <v>0.21568169589993336</v>
      </c>
      <c r="G12" s="89">
        <f>G11/G5</f>
        <v>0.22088022991866005</v>
      </c>
      <c r="H12" s="89">
        <f>AVERAGE($B$15:$G$15)</f>
        <v>314.70194833333329</v>
      </c>
      <c r="I12" s="89">
        <f>AVERAGE($B$15:$G$15)</f>
        <v>314.70194833333329</v>
      </c>
      <c r="J12" s="89">
        <f>AVERAGE($B$15:$G$15)</f>
        <v>314.70194833333329</v>
      </c>
      <c r="K12" s="89">
        <f>AVERAGE($B$15:$G$15)</f>
        <v>314.70194833333329</v>
      </c>
      <c r="L12" s="89">
        <f>AVERAGE($B$15:$G$15)</f>
        <v>314.70194833333329</v>
      </c>
      <c r="M12" s="85"/>
    </row>
    <row r="13" spans="1:13" ht="13.2" x14ac:dyDescent="0.2">
      <c r="A13" s="92" t="s">
        <v>33</v>
      </c>
      <c r="B13" s="93">
        <v>1730.4670000000001</v>
      </c>
      <c r="C13" s="93">
        <v>1697.26</v>
      </c>
      <c r="D13" s="93">
        <v>1807.8510000000001</v>
      </c>
      <c r="E13" s="93">
        <v>2055.1439999999998</v>
      </c>
      <c r="F13" s="93">
        <v>2251.2959999999998</v>
      </c>
      <c r="G13" s="93">
        <v>2532.2170000000001</v>
      </c>
      <c r="H13" s="93">
        <f>H9-H11</f>
        <v>-3649081.4246079233</v>
      </c>
      <c r="I13" s="93">
        <f>I9-I11</f>
        <v>-3795165.4421457117</v>
      </c>
      <c r="J13" s="93">
        <f>J9-J11</f>
        <v>-3946972.0598315406</v>
      </c>
      <c r="K13" s="93">
        <f>K9-K11</f>
        <v>-4104720.3276101667</v>
      </c>
      <c r="L13" s="93">
        <f>L9-L11</f>
        <v>-4268909.1407145737</v>
      </c>
      <c r="M13" s="85"/>
    </row>
    <row r="14" spans="1:13" ht="12.6" x14ac:dyDescent="0.2">
      <c r="A14" s="87" t="s">
        <v>814</v>
      </c>
      <c r="B14" s="89">
        <f>B13/B5</f>
        <v>0.22210905846168222</v>
      </c>
      <c r="C14" s="89">
        <f>C13/C5</f>
        <v>0.21252272029482666</v>
      </c>
      <c r="D14" s="89">
        <f>D13/D5</f>
        <v>0.22182985695580426</v>
      </c>
      <c r="E14" s="89">
        <f>E13/E5</f>
        <v>0.22907889871933246</v>
      </c>
      <c r="F14" s="89">
        <f>F13/F5</f>
        <v>0.21606991798100714</v>
      </c>
      <c r="G14" s="89">
        <f>G13/G5</f>
        <v>0.22679971467959853</v>
      </c>
      <c r="H14" s="89">
        <f>H13/H5</f>
        <v>-314.26194833333329</v>
      </c>
      <c r="I14" s="89">
        <f>I13/I5</f>
        <v>-314.27194833333328</v>
      </c>
      <c r="J14" s="89">
        <f>J13/J5</f>
        <v>-314.27194833333328</v>
      </c>
      <c r="K14" s="89">
        <f>K13/K5</f>
        <v>-314.26194833333329</v>
      </c>
      <c r="L14" s="89">
        <f>L13/L5</f>
        <v>-314.26194833333329</v>
      </c>
      <c r="M14" s="85"/>
    </row>
    <row r="15" spans="1:13" ht="13.2" x14ac:dyDescent="0.2">
      <c r="A15" s="86" t="s">
        <v>789</v>
      </c>
      <c r="B15" s="90">
        <f t="shared" ref="B15:L15" si="0">B13*(B16)</f>
        <v>294.17939000000001</v>
      </c>
      <c r="C15" s="90">
        <f t="shared" si="0"/>
        <v>286.83694000000003</v>
      </c>
      <c r="D15" s="90">
        <f t="shared" si="0"/>
        <v>265.754097</v>
      </c>
      <c r="E15" s="90">
        <f t="shared" si="0"/>
        <v>359.65019999999993</v>
      </c>
      <c r="F15" s="90">
        <f t="shared" si="0"/>
        <v>319.68403199999995</v>
      </c>
      <c r="G15" s="90">
        <f t="shared" si="0"/>
        <v>362.10703100000001</v>
      </c>
      <c r="H15" s="90">
        <f t="shared" si="0"/>
        <v>-521818.64371893299</v>
      </c>
      <c r="I15" s="90">
        <f t="shared" si="0"/>
        <v>-542708.65822683671</v>
      </c>
      <c r="J15" s="90">
        <f t="shared" si="0"/>
        <v>-564417.00455591024</v>
      </c>
      <c r="K15" s="90">
        <f t="shared" si="0"/>
        <v>-586975.00684825378</v>
      </c>
      <c r="L15" s="90">
        <f t="shared" si="0"/>
        <v>-610454.00712218403</v>
      </c>
      <c r="M15" s="85"/>
    </row>
    <row r="16" spans="1:13" ht="12.6" x14ac:dyDescent="0.2">
      <c r="A16" s="87" t="s">
        <v>816</v>
      </c>
      <c r="B16" s="89">
        <v>0.17</v>
      </c>
      <c r="C16" s="89">
        <v>0.16900000000000001</v>
      </c>
      <c r="D16" s="89">
        <v>0.14699999999999999</v>
      </c>
      <c r="E16" s="89">
        <v>0.17499999999999999</v>
      </c>
      <c r="F16" s="89">
        <v>0.14199999999999999</v>
      </c>
      <c r="G16" s="89">
        <v>0.14299999999999999</v>
      </c>
      <c r="H16" s="89">
        <v>0.14299999999999999</v>
      </c>
      <c r="I16" s="89">
        <v>0.14299999999999999</v>
      </c>
      <c r="J16" s="89">
        <v>0.14299999999999999</v>
      </c>
      <c r="K16" s="89">
        <v>0.14299999999999999</v>
      </c>
      <c r="L16" s="89">
        <v>0.14299999999999999</v>
      </c>
      <c r="M16" s="85"/>
    </row>
    <row r="17" spans="1:13" ht="13.2" x14ac:dyDescent="0.2">
      <c r="A17" s="92" t="s">
        <v>817</v>
      </c>
      <c r="B17" s="93">
        <f t="shared" ref="B17:G17" si="1">B13-B15</f>
        <v>1436.2876100000001</v>
      </c>
      <c r="C17" s="93">
        <f t="shared" si="1"/>
        <v>1410.4230600000001</v>
      </c>
      <c r="D17" s="93">
        <f t="shared" si="1"/>
        <v>1542.0969030000001</v>
      </c>
      <c r="E17" s="93">
        <f t="shared" si="1"/>
        <v>1695.4937999999997</v>
      </c>
      <c r="F17" s="93">
        <f t="shared" si="1"/>
        <v>1931.6119679999999</v>
      </c>
      <c r="G17" s="93">
        <f t="shared" si="1"/>
        <v>2170.1099690000001</v>
      </c>
      <c r="H17" s="93">
        <f>H13-H15</f>
        <v>-3127262.7808889905</v>
      </c>
      <c r="I17" s="93">
        <f>I13-I15</f>
        <v>-3252456.7839188753</v>
      </c>
      <c r="J17" s="93">
        <f>J13-J15</f>
        <v>-3382555.0552756302</v>
      </c>
      <c r="K17" s="93">
        <f>K13-K15</f>
        <v>-3517745.320761913</v>
      </c>
      <c r="L17" s="93">
        <f>L13-L15</f>
        <v>-3658455.1335923895</v>
      </c>
      <c r="M17" s="85"/>
    </row>
    <row r="18" spans="1:13" x14ac:dyDescent="0.2">
      <c r="A18" s="95"/>
      <c r="B18" s="95"/>
      <c r="C18" s="95"/>
      <c r="D18" s="95"/>
      <c r="E18" s="95"/>
      <c r="F18" s="95"/>
      <c r="G18" s="95"/>
      <c r="H18" s="95"/>
      <c r="I18" s="95"/>
      <c r="J18" s="95"/>
      <c r="K18" s="95"/>
      <c r="L18" s="95"/>
      <c r="M18" s="85"/>
    </row>
    <row r="19" spans="1:13" ht="13.2" x14ac:dyDescent="0.2">
      <c r="A19" s="86" t="s">
        <v>818</v>
      </c>
      <c r="B19" s="90">
        <v>286</v>
      </c>
      <c r="C19" s="90">
        <v>291</v>
      </c>
      <c r="D19" s="90">
        <v>294.89999999999998</v>
      </c>
      <c r="E19" s="90">
        <v>315</v>
      </c>
      <c r="F19" s="90">
        <v>379</v>
      </c>
      <c r="G19" s="90">
        <v>419.8</v>
      </c>
      <c r="H19" s="90">
        <f>H5*H20</f>
        <v>422.6966370344179</v>
      </c>
      <c r="I19" s="90">
        <f>I5*I20</f>
        <v>0</v>
      </c>
      <c r="J19" s="90">
        <f>J5*J20</f>
        <v>0</v>
      </c>
      <c r="K19" s="90">
        <f>K5*K20</f>
        <v>0</v>
      </c>
      <c r="L19" s="90">
        <f>L5*L20</f>
        <v>0</v>
      </c>
      <c r="M19" s="85"/>
    </row>
    <row r="20" spans="1:13" ht="12.6" x14ac:dyDescent="0.2">
      <c r="A20" s="87" t="s">
        <v>819</v>
      </c>
      <c r="B20" s="89">
        <f>B19/B5</f>
        <v>3.6708698126020955E-2</v>
      </c>
      <c r="C20" s="89">
        <f>C19/C5</f>
        <v>3.64376180466131E-2</v>
      </c>
      <c r="D20" s="89">
        <f>D19/D5</f>
        <v>3.6185296695505693E-2</v>
      </c>
      <c r="E20" s="89">
        <f>E19/E5</f>
        <v>3.5111823354757495E-2</v>
      </c>
      <c r="F20" s="89">
        <f>F19/F5</f>
        <v>3.6374825396039312E-2</v>
      </c>
      <c r="G20" s="89">
        <f>G19/G5</f>
        <v>3.7599668678669901E-2</v>
      </c>
      <c r="H20" s="89">
        <f>AVERAGE(B20:G20)</f>
        <v>3.6402988382934411E-2</v>
      </c>
      <c r="I20" s="89">
        <f>AVERAGE($B$23,$C$23,$D$23,$E$23,$G$23)</f>
        <v>0</v>
      </c>
      <c r="J20" s="89">
        <f>AVERAGE($B$23,$C$23,$D$23,$E$23,$G$23)</f>
        <v>0</v>
      </c>
      <c r="K20" s="89">
        <f>AVERAGE($B$23,$C$23,$D$23,$E$23,$G$23)</f>
        <v>0</v>
      </c>
      <c r="L20" s="89">
        <f>AVERAGE($B$23,$C$23,$D$23,$E$23,$G$23)</f>
        <v>0</v>
      </c>
      <c r="M20" s="85"/>
    </row>
    <row r="21" spans="1:13" ht="13.2" x14ac:dyDescent="0.2">
      <c r="A21" s="86" t="s">
        <v>820</v>
      </c>
      <c r="B21" s="90">
        <v>328.6</v>
      </c>
      <c r="C21" s="90">
        <v>318.2</v>
      </c>
      <c r="D21" s="90">
        <v>441.6</v>
      </c>
      <c r="E21" s="90">
        <v>495.9</v>
      </c>
      <c r="F21" s="90">
        <v>519.5</v>
      </c>
      <c r="G21" s="90">
        <v>771.1</v>
      </c>
      <c r="H21" s="90">
        <f>H5*H22</f>
        <v>15979887.952138243</v>
      </c>
      <c r="I21" s="90">
        <f>I5*I22</f>
        <v>16619083.470223771</v>
      </c>
      <c r="J21" s="90">
        <f>J5*J22</f>
        <v>17283846.809032723</v>
      </c>
      <c r="K21" s="90">
        <f>K5*K22</f>
        <v>17975200.681394033</v>
      </c>
      <c r="L21" s="90">
        <f>L5*L22</f>
        <v>18694208.708649796</v>
      </c>
      <c r="M21" s="85"/>
    </row>
    <row r="22" spans="1:13" ht="12.6" x14ac:dyDescent="0.2">
      <c r="A22" s="87" t="s">
        <v>819</v>
      </c>
      <c r="B22" s="89">
        <f>B21/B5</f>
        <v>4.217649721751919E-2</v>
      </c>
      <c r="C22" s="89">
        <f>C21/C5</f>
        <v>3.9843471004921957E-2</v>
      </c>
      <c r="D22" s="89">
        <f>D21/D5</f>
        <v>5.4185917330401213E-2</v>
      </c>
      <c r="E22" s="89">
        <f>E21/E5</f>
        <v>5.5276041909918222E-2</v>
      </c>
      <c r="F22" s="89">
        <f>F21/F5</f>
        <v>4.9859424256576308E-2</v>
      </c>
      <c r="G22" s="89">
        <f>G21/G5</f>
        <v>6.9064088895003234E-2</v>
      </c>
      <c r="H22" s="89">
        <f>AVERAGE($B$25:$G$25)</f>
        <v>1376.2013333333334</v>
      </c>
      <c r="I22" s="89">
        <f>AVERAGE($B$25:$G$25)</f>
        <v>1376.2013333333334</v>
      </c>
      <c r="J22" s="89">
        <f>AVERAGE($B$25:$G$25)</f>
        <v>1376.2013333333334</v>
      </c>
      <c r="K22" s="89">
        <f>AVERAGE($B$25:$G$25)</f>
        <v>1376.2013333333334</v>
      </c>
      <c r="L22" s="89">
        <f>AVERAGE($B$25:$G$25)</f>
        <v>1376.2013333333334</v>
      </c>
      <c r="M22" s="85"/>
    </row>
    <row r="23" spans="1:13" ht="13.2" x14ac:dyDescent="0.2">
      <c r="A23" s="86" t="s">
        <v>821</v>
      </c>
      <c r="B23" s="90">
        <f>('[1]assumptions and other data'!C6-'[1]assumptions and other data'!C7)-('[1]assumptions and other data'!B6-'[1]assumptions and other data'!B7)</f>
        <v>0</v>
      </c>
      <c r="C23" s="90">
        <f>('[1]assumptions and other data'!D6-'[1]assumptions and other data'!D7)-('[1]assumptions and other data'!C6-'[1]assumptions and other data'!C7)</f>
        <v>0</v>
      </c>
      <c r="D23" s="90">
        <f>('[1]assumptions and other data'!E6-'[1]assumptions and other data'!E7)-('[1]assumptions and other data'!D6-'[1]assumptions and other data'!D7)</f>
        <v>0</v>
      </c>
      <c r="E23" s="90">
        <f>('[1]assumptions and other data'!F6-'[1]assumptions and other data'!F7)-('[1]assumptions and other data'!E6-'[1]assumptions and other data'!E7)</f>
        <v>0</v>
      </c>
      <c r="F23" s="90">
        <f>('[1]assumptions and other data'!G6-'[1]assumptions and other data'!G7)-('[1]assumptions and other data'!F6-'[1]assumptions and other data'!F7)</f>
        <v>0</v>
      </c>
      <c r="G23" s="90">
        <f>('[1]assumptions and other data'!H6-'[1]assumptions and other data'!H7)-('[1]assumptions and other data'!G6-'[1]assumptions and other data'!G7)</f>
        <v>0</v>
      </c>
      <c r="H23" s="90">
        <f>H5*H24</f>
        <v>0</v>
      </c>
      <c r="I23" s="90">
        <f>I5*I24</f>
        <v>0</v>
      </c>
      <c r="J23" s="90">
        <f>J5*J24</f>
        <v>0</v>
      </c>
      <c r="K23" s="90">
        <f>K5*K24</f>
        <v>0</v>
      </c>
      <c r="L23" s="90">
        <f>L5*L24</f>
        <v>0</v>
      </c>
      <c r="M23" s="85"/>
    </row>
    <row r="25" spans="1:13" x14ac:dyDescent="0.2">
      <c r="A25" s="9" t="s">
        <v>104</v>
      </c>
      <c r="B25" s="76">
        <v>1164.7619999999999</v>
      </c>
      <c r="C25" s="76">
        <v>1158.884</v>
      </c>
      <c r="D25" s="76">
        <v>1057.893</v>
      </c>
      <c r="E25" s="76">
        <v>1364.585</v>
      </c>
      <c r="F25" s="76">
        <v>1727.684</v>
      </c>
      <c r="G25" s="76">
        <v>1783.4</v>
      </c>
    </row>
    <row r="26" spans="1:13" x14ac:dyDescent="0.2">
      <c r="A26" s="77"/>
      <c r="B26" s="78"/>
      <c r="C26" s="78"/>
      <c r="D26" s="78"/>
      <c r="E26" s="78"/>
      <c r="F26" s="78"/>
      <c r="G26" s="78"/>
    </row>
    <row r="27" spans="1:13" x14ac:dyDescent="0.2">
      <c r="A27" s="9"/>
      <c r="B27" s="76"/>
      <c r="C27" s="76"/>
      <c r="D27" s="76"/>
      <c r="E27" s="76"/>
      <c r="F27" s="76"/>
      <c r="G27" s="76"/>
    </row>
    <row r="28" spans="1:13" x14ac:dyDescent="0.2">
      <c r="A28" s="9"/>
      <c r="B28" s="76"/>
      <c r="C28" s="76"/>
      <c r="D28" s="76"/>
      <c r="E28" s="76"/>
      <c r="F28" s="76"/>
      <c r="G28" s="76"/>
    </row>
    <row r="31" spans="1:13" x14ac:dyDescent="0.2">
      <c r="A31" s="11" t="s">
        <v>800</v>
      </c>
      <c r="B31" s="19">
        <v>328.55900000000003</v>
      </c>
      <c r="C31" s="19">
        <v>336.95100000000002</v>
      </c>
      <c r="D31" s="19">
        <v>342.96899999999999</v>
      </c>
      <c r="E31" s="19">
        <v>417.911</v>
      </c>
      <c r="F31" s="19">
        <v>530.90700000000004</v>
      </c>
      <c r="G31" s="19">
        <v>556.71799999999996</v>
      </c>
    </row>
    <row r="32" spans="1:13" x14ac:dyDescent="0.2">
      <c r="A32" s="11" t="s">
        <v>798</v>
      </c>
      <c r="B32" s="19">
        <v>87.796999999999997</v>
      </c>
      <c r="C32" s="19">
        <v>96.941999999999993</v>
      </c>
      <c r="D32" s="19">
        <v>93.216999999999999</v>
      </c>
      <c r="E32" s="19">
        <v>104.121</v>
      </c>
      <c r="F32" s="19">
        <v>119.53400000000001</v>
      </c>
      <c r="G32" s="19">
        <v>136.80699999999999</v>
      </c>
    </row>
    <row r="33" spans="1:7" x14ac:dyDescent="0.2">
      <c r="A33" s="11" t="s">
        <v>799</v>
      </c>
      <c r="B33" s="19">
        <v>310.38</v>
      </c>
      <c r="C33" s="19">
        <v>277.87900000000002</v>
      </c>
      <c r="D33" s="19">
        <v>288.95499999999998</v>
      </c>
      <c r="E33" s="19">
        <v>395.32</v>
      </c>
      <c r="F33" s="19">
        <v>505</v>
      </c>
      <c r="G33" s="19">
        <v>507.26499999999999</v>
      </c>
    </row>
  </sheetData>
  <mergeCells count="2">
    <mergeCell ref="B1:G1"/>
    <mergeCell ref="H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workbookViewId="0">
      <selection activeCell="A2" sqref="A2"/>
    </sheetView>
    <sheetView workbookViewId="1"/>
    <sheetView tabSelected="1" zoomScale="85" zoomScaleNormal="85" workbookViewId="2">
      <selection activeCell="B9" sqref="B9"/>
    </sheetView>
  </sheetViews>
  <sheetFormatPr defaultRowHeight="13.2" x14ac:dyDescent="0.25"/>
  <cols>
    <col min="1" max="1" width="23" bestFit="1" customWidth="1"/>
  </cols>
  <sheetData>
    <row r="1" spans="1:12" ht="13.8" x14ac:dyDescent="0.25">
      <c r="A1" s="79" t="s">
        <v>801</v>
      </c>
      <c r="B1" s="96" t="s">
        <v>802</v>
      </c>
      <c r="C1" s="96"/>
      <c r="D1" s="96"/>
      <c r="E1" s="96"/>
      <c r="F1" s="96"/>
      <c r="G1" s="96"/>
      <c r="H1" s="96" t="s">
        <v>803</v>
      </c>
      <c r="I1" s="96"/>
      <c r="J1" s="96"/>
      <c r="K1" s="96"/>
      <c r="L1" s="96"/>
    </row>
    <row r="2" spans="1:12" x14ac:dyDescent="0.25">
      <c r="A2" s="80" t="s">
        <v>822</v>
      </c>
      <c r="B2" s="81"/>
      <c r="C2" s="81"/>
      <c r="D2" s="81"/>
      <c r="E2" s="81"/>
      <c r="F2" s="81"/>
      <c r="G2" s="81"/>
      <c r="H2" s="81"/>
      <c r="I2" s="81"/>
      <c r="J2" s="81"/>
      <c r="K2" s="81"/>
      <c r="L2" s="81"/>
    </row>
    <row r="3" spans="1:12" x14ac:dyDescent="0.25">
      <c r="A3" s="81" t="s">
        <v>805</v>
      </c>
      <c r="B3" s="81">
        <v>2018</v>
      </c>
      <c r="C3" s="81">
        <v>2019</v>
      </c>
      <c r="D3" s="81">
        <v>2020</v>
      </c>
      <c r="E3" s="81">
        <v>2021</v>
      </c>
      <c r="F3" s="81">
        <v>2022</v>
      </c>
      <c r="G3" s="81">
        <v>2023</v>
      </c>
      <c r="H3" s="82" t="s">
        <v>806</v>
      </c>
      <c r="I3" s="82" t="s">
        <v>807</v>
      </c>
      <c r="J3" s="82" t="s">
        <v>808</v>
      </c>
      <c r="K3" s="82" t="s">
        <v>809</v>
      </c>
      <c r="L3" s="82" t="s">
        <v>810</v>
      </c>
    </row>
    <row r="5" spans="1:12" x14ac:dyDescent="0.2">
      <c r="A5" s="101" t="s">
        <v>27</v>
      </c>
      <c r="B5" s="106">
        <v>1164.7619999999999</v>
      </c>
      <c r="C5" s="106">
        <v>1158.884</v>
      </c>
      <c r="D5" s="106">
        <v>1057.893</v>
      </c>
      <c r="E5" s="106">
        <v>1364.585</v>
      </c>
      <c r="F5" s="106">
        <v>1727.684</v>
      </c>
      <c r="G5" s="106">
        <v>1783.4</v>
      </c>
      <c r="H5" s="106">
        <f>G5*(1+H6)</f>
        <v>1960.3322590973196</v>
      </c>
      <c r="I5" s="106">
        <f t="shared" ref="I5:L5" si="0">H5*(1+I6)</f>
        <v>2154.8180812255246</v>
      </c>
      <c r="J5" s="106">
        <f t="shared" si="0"/>
        <v>2368.5989666438172</v>
      </c>
      <c r="K5" s="106">
        <f t="shared" si="0"/>
        <v>2603.58919097031</v>
      </c>
      <c r="L5" s="106">
        <f t="shared" si="0"/>
        <v>2861.8929463363183</v>
      </c>
    </row>
    <row r="6" spans="1:12" ht="12.6" x14ac:dyDescent="0.2">
      <c r="A6" s="87" t="s">
        <v>812</v>
      </c>
      <c r="B6" s="88"/>
      <c r="C6" s="89">
        <f>(C5-B5)/B5</f>
        <v>-5.0465245260404527E-3</v>
      </c>
      <c r="D6" s="89">
        <f t="shared" ref="D6:G6" si="1">(D5-C5)/C5</f>
        <v>-8.7145046441231375E-2</v>
      </c>
      <c r="E6" s="89">
        <f t="shared" si="1"/>
        <v>0.28990833666542837</v>
      </c>
      <c r="F6" s="89">
        <f t="shared" si="1"/>
        <v>0.26608749180153668</v>
      </c>
      <c r="G6" s="89">
        <f t="shared" si="1"/>
        <v>3.2248952933522639E-2</v>
      </c>
      <c r="H6" s="89">
        <f>AVERAGE($C$6:$G$6)</f>
        <v>9.921064208664318E-2</v>
      </c>
      <c r="I6" s="89">
        <f t="shared" ref="I6:L6" si="2">AVERAGE($C$6:$G$6)</f>
        <v>9.921064208664318E-2</v>
      </c>
      <c r="J6" s="89">
        <f t="shared" si="2"/>
        <v>9.921064208664318E-2</v>
      </c>
      <c r="K6" s="89">
        <f t="shared" si="2"/>
        <v>9.921064208664318E-2</v>
      </c>
      <c r="L6" s="89">
        <f t="shared" si="2"/>
        <v>9.921064208664318E-2</v>
      </c>
    </row>
    <row r="7" spans="1:12" ht="12.6" x14ac:dyDescent="0.2">
      <c r="A7" s="87"/>
      <c r="B7" s="88"/>
      <c r="C7" s="89"/>
      <c r="D7" s="89"/>
      <c r="E7" s="89"/>
      <c r="F7" s="89"/>
      <c r="G7" s="89"/>
      <c r="H7" s="89"/>
      <c r="I7" s="89"/>
      <c r="J7" s="89"/>
      <c r="K7" s="89"/>
      <c r="L7" s="89"/>
    </row>
    <row r="8" spans="1:12" x14ac:dyDescent="0.2">
      <c r="A8" s="103" t="s">
        <v>105</v>
      </c>
      <c r="B8" s="104">
        <v>328.55900000000003</v>
      </c>
      <c r="C8" s="104">
        <v>336.95100000000002</v>
      </c>
      <c r="D8" s="104">
        <v>342.96899999999999</v>
      </c>
      <c r="E8" s="104">
        <v>417.911</v>
      </c>
      <c r="F8" s="104">
        <v>530.90700000000004</v>
      </c>
      <c r="G8" s="104">
        <v>556.71799999999996</v>
      </c>
    </row>
    <row r="9" spans="1:12" x14ac:dyDescent="0.2">
      <c r="A9" s="87" t="s">
        <v>814</v>
      </c>
      <c r="B9" s="104">
        <f>I17</f>
        <v>0</v>
      </c>
      <c r="C9" s="104"/>
      <c r="D9" s="104"/>
      <c r="E9" s="104"/>
      <c r="F9" s="104"/>
      <c r="G9" s="104"/>
    </row>
    <row r="10" spans="1:12" x14ac:dyDescent="0.2">
      <c r="A10" s="103" t="s">
        <v>798</v>
      </c>
      <c r="B10" s="104">
        <v>87.796999999999997</v>
      </c>
      <c r="C10" s="104">
        <v>96.941999999999993</v>
      </c>
      <c r="D10" s="104">
        <v>93.216999999999999</v>
      </c>
      <c r="E10" s="104">
        <v>104.121</v>
      </c>
      <c r="F10" s="104">
        <v>119.53400000000001</v>
      </c>
      <c r="G10" s="104">
        <v>136.80699999999999</v>
      </c>
    </row>
    <row r="11" spans="1:12" x14ac:dyDescent="0.2">
      <c r="A11" s="87" t="s">
        <v>814</v>
      </c>
      <c r="B11" s="104"/>
      <c r="C11" s="104"/>
      <c r="D11" s="104"/>
      <c r="E11" s="104"/>
      <c r="F11" s="104"/>
      <c r="G11" s="104"/>
    </row>
    <row r="12" spans="1:12" x14ac:dyDescent="0.2">
      <c r="A12" s="103" t="s">
        <v>799</v>
      </c>
      <c r="B12" s="104">
        <v>310.38</v>
      </c>
      <c r="C12" s="104">
        <v>277.87900000000002</v>
      </c>
      <c r="D12" s="104">
        <v>288.95499999999998</v>
      </c>
      <c r="E12" s="104">
        <v>395.32</v>
      </c>
      <c r="F12" s="104">
        <v>505</v>
      </c>
      <c r="G12" s="104">
        <v>507.26499999999999</v>
      </c>
    </row>
    <row r="13" spans="1:12" hidden="1" x14ac:dyDescent="0.2">
      <c r="A13" s="103" t="s">
        <v>108</v>
      </c>
      <c r="B13" s="104" t="s">
        <v>30</v>
      </c>
      <c r="C13" s="104" t="s">
        <v>30</v>
      </c>
      <c r="D13" s="104" t="s">
        <v>30</v>
      </c>
      <c r="E13" s="104" t="s">
        <v>30</v>
      </c>
      <c r="F13" s="104" t="s">
        <v>30</v>
      </c>
      <c r="G13" s="104" t="s">
        <v>30</v>
      </c>
    </row>
    <row r="14" spans="1:12" hidden="1" x14ac:dyDescent="0.2">
      <c r="A14" s="103" t="s">
        <v>109</v>
      </c>
      <c r="B14" s="104">
        <v>6.2530000000000001</v>
      </c>
      <c r="C14" s="104" t="s">
        <v>30</v>
      </c>
      <c r="D14" s="104" t="s">
        <v>30</v>
      </c>
      <c r="E14" s="104" t="s">
        <v>30</v>
      </c>
      <c r="F14" s="104" t="s">
        <v>30</v>
      </c>
      <c r="G14" s="104" t="s">
        <v>30</v>
      </c>
    </row>
    <row r="15" spans="1:12" hidden="1" x14ac:dyDescent="0.2">
      <c r="A15" s="103" t="s">
        <v>823</v>
      </c>
      <c r="B15" s="104" t="s">
        <v>30</v>
      </c>
      <c r="C15" s="104" t="s">
        <v>30</v>
      </c>
      <c r="D15" s="104" t="s">
        <v>30</v>
      </c>
      <c r="E15" s="104" t="s">
        <v>30</v>
      </c>
      <c r="F15" s="104">
        <v>0.60199999999999998</v>
      </c>
      <c r="G15" s="104">
        <v>-11.1</v>
      </c>
    </row>
    <row r="16" spans="1:12" x14ac:dyDescent="0.2">
      <c r="A16" s="87" t="s">
        <v>814</v>
      </c>
      <c r="B16" s="104"/>
      <c r="C16" s="104"/>
      <c r="D16" s="104"/>
      <c r="E16" s="104"/>
      <c r="F16" s="104"/>
      <c r="G16" s="104"/>
    </row>
    <row r="17" spans="1:12" x14ac:dyDescent="0.2">
      <c r="A17" s="103" t="s">
        <v>110</v>
      </c>
      <c r="B17" s="104">
        <f>SUM(B13:B15)</f>
        <v>6.2530000000000001</v>
      </c>
      <c r="C17" s="104">
        <f t="shared" ref="C17:G17" si="3">SUM(C13:C15)</f>
        <v>0</v>
      </c>
      <c r="D17" s="104">
        <f t="shared" si="3"/>
        <v>0</v>
      </c>
      <c r="E17" s="104">
        <f t="shared" si="3"/>
        <v>0</v>
      </c>
      <c r="F17" s="104">
        <f t="shared" si="3"/>
        <v>0.60199999999999998</v>
      </c>
      <c r="G17" s="104">
        <f t="shared" si="3"/>
        <v>-11.1</v>
      </c>
    </row>
    <row r="18" spans="1:12" x14ac:dyDescent="0.2">
      <c r="A18" s="87" t="s">
        <v>814</v>
      </c>
      <c r="B18" s="104"/>
      <c r="C18" s="104"/>
      <c r="D18" s="104"/>
      <c r="E18" s="104"/>
      <c r="F18" s="104"/>
      <c r="G18" s="104"/>
    </row>
    <row r="19" spans="1:12" x14ac:dyDescent="0.2">
      <c r="A19" s="83" t="s">
        <v>824</v>
      </c>
      <c r="B19" s="102">
        <v>732.98900000000003</v>
      </c>
      <c r="C19" s="102">
        <v>711.77200000000005</v>
      </c>
      <c r="D19" s="102">
        <v>725.14099999999996</v>
      </c>
      <c r="E19" s="102">
        <v>917.35199999999998</v>
      </c>
      <c r="F19" s="102">
        <v>1156.0429999999999</v>
      </c>
      <c r="G19" s="102">
        <v>1189.703</v>
      </c>
      <c r="H19" s="102">
        <f>H5*H20</f>
        <v>1286.4461564034252</v>
      </c>
      <c r="I19" s="102">
        <f t="shared" ref="I19:L19" si="4">I5*I20</f>
        <v>1414.0753055901034</v>
      </c>
      <c r="J19" s="102">
        <f t="shared" si="4"/>
        <v>1554.3666246165637</v>
      </c>
      <c r="K19" s="102">
        <f t="shared" si="4"/>
        <v>1708.5763354828214</v>
      </c>
      <c r="L19" s="102">
        <f t="shared" si="4"/>
        <v>1878.0852907801159</v>
      </c>
    </row>
    <row r="20" spans="1:12" x14ac:dyDescent="0.2">
      <c r="A20" s="87" t="s">
        <v>814</v>
      </c>
      <c r="B20" s="107">
        <f>B19/B5</f>
        <v>0.62930366890403366</v>
      </c>
      <c r="C20" s="107">
        <f>C19/C5</f>
        <v>0.61418744240148282</v>
      </c>
      <c r="D20" s="107">
        <f>D19/D5</f>
        <v>0.68545779204513113</v>
      </c>
      <c r="E20" s="107">
        <f>E19/E5</f>
        <v>0.67225713312105873</v>
      </c>
      <c r="F20" s="107">
        <f>F19/F5</f>
        <v>0.66912872955934066</v>
      </c>
      <c r="G20" s="107">
        <f>G19/G5</f>
        <v>0.66709823931815626</v>
      </c>
      <c r="H20" s="107">
        <f>AVERAGE($B$20:$G$20)</f>
        <v>0.65623883422486717</v>
      </c>
      <c r="I20" s="107">
        <f t="shared" ref="I20:L20" si="5">AVERAGE($B$20:$G$20)</f>
        <v>0.65623883422486717</v>
      </c>
      <c r="J20" s="107">
        <f t="shared" si="5"/>
        <v>0.65623883422486717</v>
      </c>
      <c r="K20" s="107">
        <f t="shared" si="5"/>
        <v>0.65623883422486717</v>
      </c>
      <c r="L20" s="107">
        <f t="shared" si="5"/>
        <v>0.65623883422486717</v>
      </c>
    </row>
    <row r="21" spans="1:12" x14ac:dyDescent="0.2">
      <c r="A21" s="101" t="s">
        <v>33</v>
      </c>
      <c r="B21" s="105">
        <v>431.77300000000002</v>
      </c>
      <c r="C21" s="105">
        <v>447.11200000000002</v>
      </c>
      <c r="D21" s="105">
        <v>332.75200000000001</v>
      </c>
      <c r="E21" s="105">
        <v>447.233</v>
      </c>
      <c r="F21" s="105">
        <v>571.64099999999996</v>
      </c>
      <c r="G21" s="105">
        <v>593.697</v>
      </c>
      <c r="H21" s="105">
        <f>H5-H19</f>
        <v>673.88610269389437</v>
      </c>
      <c r="I21" s="105">
        <f t="shared" ref="I21:L21" si="6">I5-I19</f>
        <v>740.74277563542114</v>
      </c>
      <c r="J21" s="105">
        <f t="shared" si="6"/>
        <v>814.23234202725348</v>
      </c>
      <c r="K21" s="105">
        <f t="shared" si="6"/>
        <v>895.01285548748865</v>
      </c>
      <c r="L21" s="105">
        <f t="shared" si="6"/>
        <v>983.80765555620246</v>
      </c>
    </row>
    <row r="22" spans="1:12" ht="10.199999999999999" x14ac:dyDescent="0.2"/>
  </sheetData>
  <mergeCells count="2">
    <mergeCell ref="B1:G1"/>
    <mergeCell ref="H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110"/>
  <sheetViews>
    <sheetView topLeftCell="A12" zoomScale="85" zoomScaleNormal="85" workbookViewId="0">
      <selection activeCell="A22" sqref="A22:G22"/>
    </sheetView>
    <sheetView tabSelected="1" zoomScale="115" zoomScaleNormal="115" workbookViewId="1">
      <selection activeCell="B30" sqref="B30"/>
    </sheetView>
    <sheetView zoomScale="70" zoomScaleNormal="70" workbookViewId="2">
      <selection activeCell="A22" sqref="A22:G32"/>
    </sheetView>
  </sheetViews>
  <sheetFormatPr defaultRowHeight="10.199999999999999" x14ac:dyDescent="0.2"/>
  <cols>
    <col min="1" max="1" width="45.77734375" customWidth="1"/>
    <col min="2" max="7" width="14.77734375" customWidth="1"/>
  </cols>
  <sheetData>
    <row r="5" spans="1:255" ht="16.2" x14ac:dyDescent="0.25">
      <c r="A5" s="1" t="s">
        <v>77</v>
      </c>
    </row>
    <row r="7" spans="1:255" x14ac:dyDescent="0.2">
      <c r="A7" s="2" t="s">
        <v>78</v>
      </c>
      <c r="B7" s="3" t="s">
        <v>79</v>
      </c>
      <c r="C7" t="s">
        <v>80</v>
      </c>
      <c r="D7" s="4" t="s">
        <v>4</v>
      </c>
      <c r="E7" s="3" t="s">
        <v>81</v>
      </c>
      <c r="F7" t="s">
        <v>82</v>
      </c>
    </row>
    <row r="8" spans="1:255" x14ac:dyDescent="0.2">
      <c r="A8" s="4"/>
      <c r="B8" s="3" t="s">
        <v>83</v>
      </c>
      <c r="C8" t="s">
        <v>84</v>
      </c>
      <c r="D8" s="4" t="s">
        <v>4</v>
      </c>
      <c r="E8" s="3" t="s">
        <v>85</v>
      </c>
      <c r="F8" t="s">
        <v>8</v>
      </c>
    </row>
    <row r="9" spans="1:255" x14ac:dyDescent="0.2">
      <c r="A9" s="4"/>
      <c r="B9" s="3" t="s">
        <v>86</v>
      </c>
      <c r="C9" t="s">
        <v>87</v>
      </c>
      <c r="D9" s="4" t="s">
        <v>4</v>
      </c>
      <c r="E9" s="3" t="s">
        <v>88</v>
      </c>
      <c r="F9" t="s">
        <v>6</v>
      </c>
    </row>
    <row r="10" spans="1:255" x14ac:dyDescent="0.2">
      <c r="A10" s="4"/>
      <c r="B10" s="3" t="s">
        <v>89</v>
      </c>
      <c r="C10" t="s">
        <v>10</v>
      </c>
      <c r="D10" s="4" t="s">
        <v>4</v>
      </c>
      <c r="E10" s="3" t="s">
        <v>90</v>
      </c>
      <c r="F10" s="5" t="s">
        <v>12</v>
      </c>
    </row>
    <row r="11" spans="1:255" x14ac:dyDescent="0.2">
      <c r="A11" s="4"/>
      <c r="B11" s="3" t="s">
        <v>91</v>
      </c>
      <c r="C11" t="s">
        <v>92</v>
      </c>
      <c r="D11" s="4" t="s">
        <v>4</v>
      </c>
      <c r="E11" s="27"/>
      <c r="F11" s="27"/>
    </row>
    <row r="14" spans="1:255" x14ac:dyDescent="0.2">
      <c r="A14" s="6" t="s">
        <v>93</v>
      </c>
      <c r="B14" s="6"/>
      <c r="C14" s="6"/>
      <c r="D14" s="6"/>
      <c r="E14" s="6"/>
      <c r="F14" s="6"/>
      <c r="G14" s="6"/>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75"/>
      <c r="CZ14" s="75"/>
      <c r="DA14" s="75"/>
      <c r="DB14" s="75"/>
      <c r="DC14" s="75"/>
      <c r="DD14" s="75"/>
      <c r="DE14" s="75"/>
      <c r="DF14" s="75"/>
      <c r="DG14" s="75"/>
      <c r="DH14" s="75"/>
      <c r="DI14" s="75"/>
      <c r="DJ14" s="75"/>
      <c r="DK14" s="75"/>
      <c r="DL14" s="75"/>
      <c r="DM14" s="75"/>
      <c r="DN14" s="75"/>
      <c r="DO14" s="75"/>
      <c r="DP14" s="75"/>
      <c r="DQ14" s="75"/>
      <c r="DR14" s="75"/>
      <c r="DS14" s="75"/>
      <c r="DT14" s="75"/>
      <c r="DU14" s="75"/>
      <c r="DV14" s="75"/>
      <c r="DW14" s="75"/>
      <c r="DX14" s="75"/>
      <c r="DY14" s="75"/>
      <c r="DZ14" s="75"/>
      <c r="EA14" s="75"/>
      <c r="EB14" s="75"/>
      <c r="EC14" s="75"/>
      <c r="ED14" s="75"/>
      <c r="EE14" s="75"/>
      <c r="EF14" s="75"/>
      <c r="EG14" s="75"/>
      <c r="EH14" s="75"/>
      <c r="EI14" s="75"/>
      <c r="EJ14" s="75"/>
      <c r="EK14" s="75"/>
      <c r="EL14" s="75"/>
      <c r="EM14" s="75"/>
      <c r="EN14" s="75"/>
      <c r="EO14" s="75"/>
      <c r="EP14" s="75"/>
      <c r="EQ14" s="75"/>
      <c r="ER14" s="75"/>
      <c r="ES14" s="75"/>
      <c r="ET14" s="75"/>
      <c r="EU14" s="75"/>
      <c r="EV14" s="75"/>
      <c r="EW14" s="75"/>
      <c r="EX14" s="75"/>
      <c r="EY14" s="75"/>
      <c r="EZ14" s="75"/>
      <c r="FA14" s="75"/>
      <c r="FB14" s="75"/>
      <c r="FC14" s="75"/>
      <c r="FD14" s="75"/>
      <c r="FE14" s="75"/>
      <c r="FF14" s="75"/>
      <c r="FG14" s="75"/>
      <c r="FH14" s="75"/>
      <c r="FI14" s="75"/>
      <c r="FJ14" s="75"/>
      <c r="FK14" s="75"/>
      <c r="FL14" s="75"/>
      <c r="FM14" s="75"/>
      <c r="FN14" s="75"/>
      <c r="FO14" s="75"/>
      <c r="FP14" s="75"/>
      <c r="FQ14" s="75"/>
      <c r="FR14" s="75"/>
      <c r="FS14" s="75"/>
      <c r="FT14" s="75"/>
      <c r="FU14" s="75"/>
      <c r="FV14" s="75"/>
      <c r="FW14" s="75"/>
      <c r="FX14" s="75"/>
      <c r="FY14" s="75"/>
      <c r="FZ14" s="75"/>
      <c r="GA14" s="75"/>
      <c r="GB14" s="75"/>
      <c r="GC14" s="75"/>
      <c r="GD14" s="75"/>
      <c r="GE14" s="75"/>
      <c r="GF14" s="75"/>
      <c r="GG14" s="75"/>
      <c r="GH14" s="75"/>
      <c r="GI14" s="75"/>
      <c r="GJ14" s="75"/>
      <c r="GK14" s="75"/>
      <c r="GL14" s="75"/>
      <c r="GM14" s="75"/>
      <c r="GN14" s="75"/>
      <c r="GO14" s="75"/>
      <c r="GP14" s="75"/>
      <c r="GQ14" s="75"/>
      <c r="GR14" s="75"/>
      <c r="GS14" s="75"/>
      <c r="GT14" s="75"/>
      <c r="GU14" s="75"/>
      <c r="GV14" s="75"/>
      <c r="GW14" s="75"/>
      <c r="GX14" s="75"/>
      <c r="GY14" s="75"/>
      <c r="GZ14" s="75"/>
      <c r="HA14" s="75"/>
      <c r="HB14" s="75"/>
      <c r="HC14" s="75"/>
      <c r="HD14" s="75"/>
      <c r="HE14" s="75"/>
      <c r="HF14" s="75"/>
      <c r="HG14" s="75"/>
      <c r="HH14" s="75"/>
      <c r="HI14" s="75"/>
      <c r="HJ14" s="75"/>
      <c r="HK14" s="75"/>
      <c r="HL14" s="75"/>
      <c r="HM14" s="75"/>
      <c r="HN14" s="75"/>
      <c r="HO14" s="75"/>
      <c r="HP14" s="75"/>
      <c r="HQ14" s="75"/>
      <c r="HR14" s="75"/>
      <c r="HS14" s="75"/>
      <c r="HT14" s="75"/>
      <c r="HU14" s="75"/>
      <c r="HV14" s="75"/>
      <c r="HW14" s="75"/>
      <c r="HX14" s="75"/>
      <c r="HY14" s="75"/>
      <c r="HZ14" s="75"/>
      <c r="IA14" s="75"/>
      <c r="IB14" s="75"/>
      <c r="IC14" s="75"/>
      <c r="ID14" s="75"/>
      <c r="IE14" s="75"/>
      <c r="IF14" s="75"/>
      <c r="IG14" s="75"/>
      <c r="IH14" s="75"/>
      <c r="II14" s="75"/>
      <c r="IJ14" s="75"/>
      <c r="IK14" s="75"/>
      <c r="IL14" s="75"/>
      <c r="IM14" s="75"/>
      <c r="IN14" s="75"/>
      <c r="IO14" s="75"/>
      <c r="IP14" s="75"/>
      <c r="IQ14" s="75"/>
      <c r="IR14" s="75"/>
      <c r="IS14" s="75"/>
      <c r="IT14" s="75"/>
      <c r="IU14" s="75"/>
    </row>
    <row r="15" spans="1:255" ht="30.6" x14ac:dyDescent="0.2">
      <c r="A15" s="7" t="s">
        <v>16</v>
      </c>
      <c r="B15" s="13" t="s">
        <v>94</v>
      </c>
      <c r="C15" s="13" t="s">
        <v>95</v>
      </c>
      <c r="D15" s="13" t="s">
        <v>96</v>
      </c>
      <c r="E15" s="13" t="s">
        <v>97</v>
      </c>
      <c r="F15" s="13" t="s">
        <v>98</v>
      </c>
      <c r="G15" s="13" t="s">
        <v>99</v>
      </c>
    </row>
    <row r="16" spans="1:255" x14ac:dyDescent="0.2">
      <c r="A16" s="8" t="s">
        <v>25</v>
      </c>
      <c r="B16" s="14" t="s">
        <v>26</v>
      </c>
      <c r="C16" s="14" t="s">
        <v>26</v>
      </c>
      <c r="D16" s="14" t="s">
        <v>26</v>
      </c>
      <c r="E16" s="14" t="s">
        <v>26</v>
      </c>
      <c r="F16" s="14" t="s">
        <v>26</v>
      </c>
      <c r="G16" s="14" t="s">
        <v>26</v>
      </c>
    </row>
    <row r="17" spans="1:7" x14ac:dyDescent="0.2">
      <c r="A17" s="9" t="s">
        <v>39</v>
      </c>
      <c r="B17" s="11"/>
      <c r="C17" s="11"/>
      <c r="D17" s="11"/>
      <c r="E17" s="11"/>
      <c r="F17" s="11"/>
      <c r="G17" s="11"/>
    </row>
    <row r="18" spans="1:7" x14ac:dyDescent="0.2">
      <c r="A18" s="11" t="s">
        <v>100</v>
      </c>
      <c r="B18" s="19">
        <v>1149.6030000000001</v>
      </c>
      <c r="C18" s="19">
        <v>1142.3340000000001</v>
      </c>
      <c r="D18" s="19">
        <v>1044.8879999999999</v>
      </c>
      <c r="E18" s="19">
        <v>1349.702</v>
      </c>
      <c r="F18" s="19">
        <v>1710.848</v>
      </c>
      <c r="G18" s="19">
        <v>1767.057</v>
      </c>
    </row>
    <row r="19" spans="1:7" x14ac:dyDescent="0.2">
      <c r="A19" s="11" t="s">
        <v>101</v>
      </c>
      <c r="B19" s="19" t="s">
        <v>30</v>
      </c>
      <c r="C19" s="19" t="s">
        <v>30</v>
      </c>
      <c r="D19" s="19" t="s">
        <v>30</v>
      </c>
      <c r="E19" s="19" t="s">
        <v>30</v>
      </c>
      <c r="F19" s="19" t="s">
        <v>30</v>
      </c>
      <c r="G19" s="19" t="s">
        <v>30</v>
      </c>
    </row>
    <row r="20" spans="1:7" x14ac:dyDescent="0.2">
      <c r="A20" s="11" t="s">
        <v>102</v>
      </c>
      <c r="B20" s="19">
        <v>15.159000000000001</v>
      </c>
      <c r="C20" s="19">
        <v>16.55</v>
      </c>
      <c r="D20" s="19">
        <v>13.005000000000001</v>
      </c>
      <c r="E20" s="19">
        <v>14.882999999999999</v>
      </c>
      <c r="F20" s="19">
        <v>16.835999999999999</v>
      </c>
      <c r="G20" s="19">
        <v>16.343</v>
      </c>
    </row>
    <row r="21" spans="1:7" x14ac:dyDescent="0.2">
      <c r="A21" s="11" t="s">
        <v>103</v>
      </c>
      <c r="B21" s="19" t="s">
        <v>30</v>
      </c>
      <c r="C21" s="19" t="s">
        <v>30</v>
      </c>
      <c r="D21" s="19" t="s">
        <v>30</v>
      </c>
      <c r="E21" s="19" t="s">
        <v>30</v>
      </c>
      <c r="F21" s="19" t="s">
        <v>30</v>
      </c>
      <c r="G21" s="19" t="s">
        <v>30</v>
      </c>
    </row>
    <row r="22" spans="1:7" x14ac:dyDescent="0.2">
      <c r="A22" s="9" t="s">
        <v>104</v>
      </c>
      <c r="B22" s="29">
        <v>1164.7619999999999</v>
      </c>
      <c r="C22" s="29">
        <v>1158.884</v>
      </c>
      <c r="D22" s="29">
        <v>1057.893</v>
      </c>
      <c r="E22" s="29">
        <v>1364.585</v>
      </c>
      <c r="F22" s="29">
        <v>1727.684</v>
      </c>
      <c r="G22" s="29">
        <v>1783.4</v>
      </c>
    </row>
    <row r="23" spans="1:7" x14ac:dyDescent="0.2">
      <c r="A23" s="11"/>
      <c r="B23" s="11"/>
      <c r="C23" s="11"/>
      <c r="D23" s="11"/>
      <c r="E23" s="11"/>
      <c r="F23" s="11"/>
      <c r="G23" s="11"/>
    </row>
    <row r="24" spans="1:7" x14ac:dyDescent="0.2">
      <c r="A24" s="11" t="s">
        <v>105</v>
      </c>
      <c r="B24" s="19">
        <v>328.55900000000003</v>
      </c>
      <c r="C24" s="19">
        <v>336.95100000000002</v>
      </c>
      <c r="D24" s="19">
        <v>342.96899999999999</v>
      </c>
      <c r="E24" s="19">
        <v>417.911</v>
      </c>
      <c r="F24" s="19">
        <v>530.90700000000004</v>
      </c>
      <c r="G24" s="19">
        <v>556.71799999999996</v>
      </c>
    </row>
    <row r="25" spans="1:7" x14ac:dyDescent="0.2">
      <c r="A25" s="11" t="s">
        <v>106</v>
      </c>
      <c r="B25" s="19">
        <v>87.796999999999997</v>
      </c>
      <c r="C25" s="19">
        <v>96.941999999999993</v>
      </c>
      <c r="D25" s="19">
        <v>93.216999999999999</v>
      </c>
      <c r="E25" s="19">
        <v>104.121</v>
      </c>
      <c r="F25" s="19">
        <v>119.53400000000001</v>
      </c>
      <c r="G25" s="19">
        <v>136.80699999999999</v>
      </c>
    </row>
    <row r="26" spans="1:7" x14ac:dyDescent="0.2">
      <c r="A26" s="11" t="s">
        <v>107</v>
      </c>
      <c r="B26" s="19">
        <v>310.38</v>
      </c>
      <c r="C26" s="19">
        <v>277.87900000000002</v>
      </c>
      <c r="D26" s="19">
        <v>288.95499999999998</v>
      </c>
      <c r="E26" s="19">
        <v>395.32</v>
      </c>
      <c r="F26" s="19">
        <v>505</v>
      </c>
      <c r="G26" s="19">
        <v>507.26499999999999</v>
      </c>
    </row>
    <row r="27" spans="1:7" x14ac:dyDescent="0.2">
      <c r="A27" s="11" t="s">
        <v>108</v>
      </c>
      <c r="B27" s="19" t="s">
        <v>30</v>
      </c>
      <c r="C27" s="19" t="s">
        <v>30</v>
      </c>
      <c r="D27" s="19" t="s">
        <v>30</v>
      </c>
      <c r="E27" s="19" t="s">
        <v>30</v>
      </c>
      <c r="F27" s="19" t="s">
        <v>30</v>
      </c>
      <c r="G27" s="19" t="s">
        <v>30</v>
      </c>
    </row>
    <row r="28" spans="1:7" x14ac:dyDescent="0.2">
      <c r="A28" s="11" t="s">
        <v>109</v>
      </c>
      <c r="B28" s="19">
        <v>6.2530000000000001</v>
      </c>
      <c r="C28" s="19" t="s">
        <v>30</v>
      </c>
      <c r="D28" s="19" t="s">
        <v>30</v>
      </c>
      <c r="E28" s="19" t="s">
        <v>30</v>
      </c>
      <c r="F28" s="19" t="s">
        <v>30</v>
      </c>
      <c r="G28" s="19" t="s">
        <v>30</v>
      </c>
    </row>
    <row r="29" spans="1:7" x14ac:dyDescent="0.2">
      <c r="A29" s="11" t="s">
        <v>110</v>
      </c>
      <c r="B29" s="19" t="s">
        <v>30</v>
      </c>
      <c r="C29" s="19" t="s">
        <v>30</v>
      </c>
      <c r="D29" s="19" t="s">
        <v>30</v>
      </c>
      <c r="E29" s="19" t="s">
        <v>30</v>
      </c>
      <c r="F29" s="19">
        <v>0.60199999999999998</v>
      </c>
      <c r="G29" s="19">
        <v>-11.1</v>
      </c>
    </row>
    <row r="30" spans="1:7" x14ac:dyDescent="0.2">
      <c r="A30" s="9" t="s">
        <v>111</v>
      </c>
      <c r="B30" s="29">
        <v>732.98900000000003</v>
      </c>
      <c r="C30" s="29">
        <v>711.77200000000005</v>
      </c>
      <c r="D30" s="29">
        <v>725.14099999999996</v>
      </c>
      <c r="E30" s="29">
        <v>917.35199999999998</v>
      </c>
      <c r="F30" s="29">
        <v>1156.0429999999999</v>
      </c>
      <c r="G30" s="29">
        <v>1189.703</v>
      </c>
    </row>
    <row r="31" spans="1:7" x14ac:dyDescent="0.2">
      <c r="A31" s="11"/>
      <c r="B31" s="11"/>
      <c r="C31" s="11"/>
      <c r="D31" s="11"/>
      <c r="E31" s="11"/>
      <c r="F31" s="11"/>
      <c r="G31" s="11"/>
    </row>
    <row r="32" spans="1:7" x14ac:dyDescent="0.2">
      <c r="A32" s="9" t="s">
        <v>112</v>
      </c>
      <c r="B32" s="15">
        <v>431.77300000000002</v>
      </c>
      <c r="C32" s="15">
        <v>447.11200000000002</v>
      </c>
      <c r="D32" s="15">
        <v>332.75200000000001</v>
      </c>
      <c r="E32" s="15">
        <v>447.233</v>
      </c>
      <c r="F32" s="15">
        <v>571.64099999999996</v>
      </c>
      <c r="G32" s="15">
        <v>593.697</v>
      </c>
    </row>
    <row r="33" spans="1:7" x14ac:dyDescent="0.2">
      <c r="A33" s="11"/>
      <c r="B33" s="11"/>
      <c r="C33" s="11"/>
      <c r="D33" s="11"/>
      <c r="E33" s="11"/>
      <c r="F33" s="11"/>
      <c r="G33" s="11"/>
    </row>
    <row r="34" spans="1:7" x14ac:dyDescent="0.2">
      <c r="A34" s="11" t="s">
        <v>113</v>
      </c>
      <c r="B34" s="19">
        <v>-183.3</v>
      </c>
      <c r="C34" s="19">
        <v>-177.4</v>
      </c>
      <c r="D34" s="19">
        <v>-186.9</v>
      </c>
      <c r="E34" s="19">
        <v>-204.1</v>
      </c>
      <c r="F34" s="19">
        <v>-226.8</v>
      </c>
      <c r="G34" s="19">
        <v>-250.2</v>
      </c>
    </row>
    <row r="35" spans="1:7" x14ac:dyDescent="0.2">
      <c r="A35" s="11" t="s">
        <v>114</v>
      </c>
      <c r="B35" s="19" t="s">
        <v>30</v>
      </c>
      <c r="C35" s="19" t="s">
        <v>30</v>
      </c>
      <c r="D35" s="19">
        <v>4.0960000000000001</v>
      </c>
      <c r="E35" s="19">
        <v>16.957999999999998</v>
      </c>
      <c r="F35" s="19">
        <v>18.001999999999999</v>
      </c>
      <c r="G35" s="19">
        <v>202.749</v>
      </c>
    </row>
    <row r="36" spans="1:7" x14ac:dyDescent="0.2">
      <c r="A36" s="9" t="s">
        <v>115</v>
      </c>
      <c r="B36" s="29">
        <v>-183.3</v>
      </c>
      <c r="C36" s="29">
        <v>-177.4</v>
      </c>
      <c r="D36" s="29">
        <v>-182.8</v>
      </c>
      <c r="E36" s="29">
        <v>-187.2</v>
      </c>
      <c r="F36" s="29">
        <v>-208.8</v>
      </c>
      <c r="G36" s="29">
        <v>-47.5</v>
      </c>
    </row>
    <row r="37" spans="1:7" x14ac:dyDescent="0.2">
      <c r="A37" s="11"/>
      <c r="B37" s="11"/>
      <c r="C37" s="11"/>
      <c r="D37" s="11"/>
      <c r="E37" s="11"/>
      <c r="F37" s="11"/>
      <c r="G37" s="11"/>
    </row>
    <row r="38" spans="1:7" x14ac:dyDescent="0.2">
      <c r="A38" s="11" t="s">
        <v>116</v>
      </c>
      <c r="B38" s="19">
        <v>100.717</v>
      </c>
      <c r="C38" s="19">
        <v>98.238</v>
      </c>
      <c r="D38" s="19">
        <v>75.980999999999995</v>
      </c>
      <c r="E38" s="19">
        <v>107.95</v>
      </c>
      <c r="F38" s="19">
        <v>126.884</v>
      </c>
      <c r="G38" s="19">
        <v>82.986999999999995</v>
      </c>
    </row>
    <row r="39" spans="1:7" x14ac:dyDescent="0.2">
      <c r="A39" s="11" t="s">
        <v>117</v>
      </c>
      <c r="B39" s="19">
        <v>10.228</v>
      </c>
      <c r="C39" s="19">
        <v>10.984999999999999</v>
      </c>
      <c r="D39" s="19">
        <v>2.3E-2</v>
      </c>
      <c r="E39" s="19">
        <v>2.8519999999999999</v>
      </c>
      <c r="F39" s="19">
        <v>11.429</v>
      </c>
      <c r="G39" s="19">
        <v>20.239999999999998</v>
      </c>
    </row>
    <row r="40" spans="1:7" x14ac:dyDescent="0.2">
      <c r="A40" s="9" t="s">
        <v>118</v>
      </c>
      <c r="B40" s="29">
        <v>359.37900000000002</v>
      </c>
      <c r="C40" s="29">
        <v>378.94</v>
      </c>
      <c r="D40" s="29">
        <v>225.94800000000001</v>
      </c>
      <c r="E40" s="29">
        <v>370.86</v>
      </c>
      <c r="F40" s="29">
        <v>501.13299999999998</v>
      </c>
      <c r="G40" s="29">
        <v>649.47199999999998</v>
      </c>
    </row>
    <row r="41" spans="1:7" x14ac:dyDescent="0.2">
      <c r="A41" s="11"/>
      <c r="B41" s="11"/>
      <c r="C41" s="11"/>
      <c r="D41" s="11"/>
      <c r="E41" s="11"/>
      <c r="F41" s="11"/>
      <c r="G41" s="11"/>
    </row>
    <row r="42" spans="1:7" x14ac:dyDescent="0.2">
      <c r="A42" s="11" t="s">
        <v>119</v>
      </c>
      <c r="B42" s="19" t="s">
        <v>30</v>
      </c>
      <c r="C42" s="19" t="s">
        <v>30</v>
      </c>
      <c r="D42" s="19" t="s">
        <v>30</v>
      </c>
      <c r="E42" s="19">
        <v>-50.2</v>
      </c>
      <c r="F42" s="19" t="s">
        <v>30</v>
      </c>
      <c r="G42" s="19">
        <v>-4.8</v>
      </c>
    </row>
    <row r="43" spans="1:7" x14ac:dyDescent="0.2">
      <c r="A43" s="11" t="s">
        <v>120</v>
      </c>
      <c r="B43" s="19" t="s">
        <v>30</v>
      </c>
      <c r="C43" s="19" t="s">
        <v>30</v>
      </c>
      <c r="D43" s="19" t="s">
        <v>30</v>
      </c>
      <c r="E43" s="19" t="s">
        <v>30</v>
      </c>
      <c r="F43" s="19" t="s">
        <v>30</v>
      </c>
      <c r="G43" s="19" t="s">
        <v>30</v>
      </c>
    </row>
    <row r="44" spans="1:7" x14ac:dyDescent="0.2">
      <c r="A44" s="11" t="s">
        <v>121</v>
      </c>
      <c r="B44" s="19">
        <v>-3.5</v>
      </c>
      <c r="C44" s="19">
        <v>0.82899999999999996</v>
      </c>
      <c r="D44" s="19">
        <v>785.58500000000004</v>
      </c>
      <c r="E44" s="19">
        <v>505.16300000000001</v>
      </c>
      <c r="F44" s="19">
        <v>-315.5</v>
      </c>
      <c r="G44" s="19">
        <v>21.262</v>
      </c>
    </row>
    <row r="45" spans="1:7" x14ac:dyDescent="0.2">
      <c r="A45" s="11" t="s">
        <v>122</v>
      </c>
      <c r="B45" s="19">
        <v>236.14</v>
      </c>
      <c r="C45" s="19">
        <v>79.218000000000004</v>
      </c>
      <c r="D45" s="19">
        <v>6.484</v>
      </c>
      <c r="E45" s="19">
        <v>30.841000000000001</v>
      </c>
      <c r="F45" s="19">
        <v>15.179</v>
      </c>
      <c r="G45" s="19">
        <v>74.975999999999999</v>
      </c>
    </row>
    <row r="46" spans="1:7" x14ac:dyDescent="0.2">
      <c r="A46" s="11" t="s">
        <v>123</v>
      </c>
      <c r="B46" s="19">
        <v>-79.2</v>
      </c>
      <c r="C46" s="19">
        <v>-48.7</v>
      </c>
      <c r="D46" s="19">
        <v>-6.6</v>
      </c>
      <c r="E46" s="19">
        <v>-3.6</v>
      </c>
      <c r="F46" s="19">
        <v>-22</v>
      </c>
      <c r="G46" s="19">
        <v>-14</v>
      </c>
    </row>
    <row r="47" spans="1:7" x14ac:dyDescent="0.2">
      <c r="A47" s="11" t="s">
        <v>124</v>
      </c>
      <c r="B47" s="19">
        <v>-12.8</v>
      </c>
      <c r="C47" s="19" t="s">
        <v>30</v>
      </c>
      <c r="D47" s="19">
        <v>-7.5</v>
      </c>
      <c r="E47" s="19" t="s">
        <v>30</v>
      </c>
      <c r="F47" s="19">
        <v>-7.7</v>
      </c>
      <c r="G47" s="19" t="s">
        <v>30</v>
      </c>
    </row>
    <row r="48" spans="1:7" x14ac:dyDescent="0.2">
      <c r="A48" s="9" t="s">
        <v>125</v>
      </c>
      <c r="B48" s="29">
        <v>500.06299999999999</v>
      </c>
      <c r="C48" s="29">
        <v>410.24400000000003</v>
      </c>
      <c r="D48" s="29">
        <v>1003.855</v>
      </c>
      <c r="E48" s="29">
        <v>853.07600000000002</v>
      </c>
      <c r="F48" s="29">
        <v>171.18799999999999</v>
      </c>
      <c r="G48" s="29">
        <v>726.90099999999995</v>
      </c>
    </row>
    <row r="49" spans="1:7" x14ac:dyDescent="0.2">
      <c r="A49" s="11"/>
      <c r="B49" s="11"/>
      <c r="C49" s="11"/>
      <c r="D49" s="11"/>
      <c r="E49" s="11"/>
      <c r="F49" s="11"/>
      <c r="G49" s="11"/>
    </row>
    <row r="50" spans="1:7" x14ac:dyDescent="0.2">
      <c r="A50" s="11" t="s">
        <v>126</v>
      </c>
      <c r="B50" s="19">
        <v>1.6</v>
      </c>
      <c r="C50" s="19">
        <v>-3.3</v>
      </c>
      <c r="D50" s="19">
        <v>0.97799999999999998</v>
      </c>
      <c r="E50" s="19">
        <v>3.38</v>
      </c>
      <c r="F50" s="19">
        <v>56.654000000000003</v>
      </c>
      <c r="G50" s="19">
        <v>60.951999999999998</v>
      </c>
    </row>
    <row r="51" spans="1:7" x14ac:dyDescent="0.2">
      <c r="A51" s="9" t="s">
        <v>127</v>
      </c>
      <c r="B51" s="29">
        <v>498.46300000000002</v>
      </c>
      <c r="C51" s="29">
        <v>413.56099999999998</v>
      </c>
      <c r="D51" s="29">
        <v>1002.877</v>
      </c>
      <c r="E51" s="29">
        <v>849.69600000000003</v>
      </c>
      <c r="F51" s="29">
        <v>114.53400000000001</v>
      </c>
      <c r="G51" s="29">
        <v>665.94899999999996</v>
      </c>
    </row>
    <row r="52" spans="1:7" x14ac:dyDescent="0.2">
      <c r="A52" s="11"/>
      <c r="B52" s="11"/>
      <c r="C52" s="11"/>
      <c r="D52" s="11"/>
      <c r="E52" s="11"/>
      <c r="F52" s="11"/>
      <c r="G52" s="11"/>
    </row>
    <row r="53" spans="1:7" x14ac:dyDescent="0.2">
      <c r="A53" s="11" t="s">
        <v>128</v>
      </c>
      <c r="B53" s="19" t="s">
        <v>30</v>
      </c>
      <c r="C53" s="19" t="s">
        <v>30</v>
      </c>
      <c r="D53" s="19" t="s">
        <v>30</v>
      </c>
      <c r="E53" s="19" t="s">
        <v>30</v>
      </c>
      <c r="F53" s="19" t="s">
        <v>30</v>
      </c>
      <c r="G53" s="19" t="s">
        <v>30</v>
      </c>
    </row>
    <row r="54" spans="1:7" x14ac:dyDescent="0.2">
      <c r="A54" s="11" t="s">
        <v>129</v>
      </c>
      <c r="B54" s="19" t="s">
        <v>30</v>
      </c>
      <c r="C54" s="19" t="s">
        <v>30</v>
      </c>
      <c r="D54" s="19" t="s">
        <v>30</v>
      </c>
      <c r="E54" s="19" t="s">
        <v>30</v>
      </c>
      <c r="F54" s="19" t="s">
        <v>30</v>
      </c>
      <c r="G54" s="19" t="s">
        <v>30</v>
      </c>
    </row>
    <row r="55" spans="1:7" x14ac:dyDescent="0.2">
      <c r="A55" s="9" t="s">
        <v>130</v>
      </c>
      <c r="B55" s="29">
        <v>498.46300000000002</v>
      </c>
      <c r="C55" s="29">
        <v>413.56099999999998</v>
      </c>
      <c r="D55" s="29">
        <v>1002.877</v>
      </c>
      <c r="E55" s="29">
        <v>849.69600000000003</v>
      </c>
      <c r="F55" s="29">
        <v>114.53400000000001</v>
      </c>
      <c r="G55" s="29">
        <v>665.94899999999996</v>
      </c>
    </row>
    <row r="56" spans="1:7" x14ac:dyDescent="0.2">
      <c r="A56" s="11"/>
      <c r="B56" s="11"/>
      <c r="C56" s="11"/>
      <c r="D56" s="11"/>
      <c r="E56" s="11"/>
      <c r="F56" s="11"/>
      <c r="G56" s="11"/>
    </row>
    <row r="57" spans="1:7" x14ac:dyDescent="0.2">
      <c r="A57" s="11" t="s">
        <v>131</v>
      </c>
      <c r="B57" s="19">
        <v>-0.7</v>
      </c>
      <c r="C57" s="19">
        <v>-3</v>
      </c>
      <c r="D57" s="19">
        <v>-2</v>
      </c>
      <c r="E57" s="19">
        <v>-5.6</v>
      </c>
      <c r="F57" s="19">
        <v>11.442</v>
      </c>
      <c r="G57" s="19">
        <v>-11.7</v>
      </c>
    </row>
    <row r="58" spans="1:7" x14ac:dyDescent="0.2">
      <c r="A58" s="9" t="s">
        <v>132</v>
      </c>
      <c r="B58" s="30">
        <v>497.79500000000002</v>
      </c>
      <c r="C58" s="30">
        <v>410.60500000000002</v>
      </c>
      <c r="D58" s="30">
        <v>1000.833</v>
      </c>
      <c r="E58" s="30">
        <v>844.05899999999997</v>
      </c>
      <c r="F58" s="30">
        <v>125.976</v>
      </c>
      <c r="G58" s="30">
        <v>654.27300000000002</v>
      </c>
    </row>
    <row r="59" spans="1:7" x14ac:dyDescent="0.2">
      <c r="A59" s="11"/>
      <c r="B59" s="11"/>
      <c r="C59" s="11"/>
      <c r="D59" s="11"/>
      <c r="E59" s="11"/>
      <c r="F59" s="11"/>
      <c r="G59" s="11"/>
    </row>
    <row r="60" spans="1:7" x14ac:dyDescent="0.2">
      <c r="A60" s="11" t="s">
        <v>133</v>
      </c>
      <c r="B60" s="19">
        <v>68.087000000000003</v>
      </c>
      <c r="C60" s="19">
        <v>73.215999999999994</v>
      </c>
      <c r="D60" s="19">
        <v>29.603000000000002</v>
      </c>
      <c r="E60" s="19">
        <v>28.457999999999998</v>
      </c>
      <c r="F60" s="19">
        <v>27.4</v>
      </c>
      <c r="G60" s="19">
        <v>25.516999999999999</v>
      </c>
    </row>
    <row r="61" spans="1:7" x14ac:dyDescent="0.2">
      <c r="A61" s="11"/>
      <c r="B61" s="11"/>
      <c r="C61" s="11"/>
      <c r="D61" s="11"/>
      <c r="E61" s="11"/>
      <c r="F61" s="11"/>
      <c r="G61" s="11"/>
    </row>
    <row r="62" spans="1:7" x14ac:dyDescent="0.2">
      <c r="A62" s="9" t="s">
        <v>134</v>
      </c>
      <c r="B62" s="15">
        <v>429.70800000000003</v>
      </c>
      <c r="C62" s="15">
        <v>337.38900000000001</v>
      </c>
      <c r="D62" s="15">
        <v>971.23</v>
      </c>
      <c r="E62" s="15">
        <v>815.601</v>
      </c>
      <c r="F62" s="15">
        <v>98.575999999999993</v>
      </c>
      <c r="G62" s="15">
        <v>628.75599999999997</v>
      </c>
    </row>
    <row r="63" spans="1:7" x14ac:dyDescent="0.2">
      <c r="A63" s="9" t="s">
        <v>135</v>
      </c>
      <c r="B63" s="15">
        <v>429.70800000000003</v>
      </c>
      <c r="C63" s="15">
        <v>337.38900000000001</v>
      </c>
      <c r="D63" s="15">
        <v>971.23</v>
      </c>
      <c r="E63" s="15">
        <v>815.601</v>
      </c>
      <c r="F63" s="15">
        <v>98.575999999999993</v>
      </c>
      <c r="G63" s="15">
        <v>628.75599999999997</v>
      </c>
    </row>
    <row r="64" spans="1:7" x14ac:dyDescent="0.2">
      <c r="A64" s="11"/>
      <c r="B64" s="11"/>
      <c r="C64" s="11"/>
      <c r="D64" s="11"/>
      <c r="E64" s="11"/>
      <c r="F64" s="11"/>
      <c r="G64" s="11"/>
    </row>
    <row r="65" spans="1:7" x14ac:dyDescent="0.2">
      <c r="A65" s="9" t="s">
        <v>136</v>
      </c>
      <c r="B65" s="11"/>
      <c r="C65" s="11"/>
      <c r="D65" s="11"/>
      <c r="E65" s="11"/>
      <c r="F65" s="11"/>
      <c r="G65" s="11"/>
    </row>
    <row r="66" spans="1:7" x14ac:dyDescent="0.2">
      <c r="A66" s="11" t="s">
        <v>137</v>
      </c>
      <c r="B66" s="22">
        <v>1.02</v>
      </c>
      <c r="C66" s="22">
        <v>0.8</v>
      </c>
      <c r="D66" s="22">
        <v>2.2599999999999998</v>
      </c>
      <c r="E66" s="22">
        <v>1.61</v>
      </c>
      <c r="F66" s="22">
        <v>0.16</v>
      </c>
      <c r="G66" s="22">
        <v>1.02</v>
      </c>
    </row>
    <row r="67" spans="1:7" x14ac:dyDescent="0.2">
      <c r="A67" s="11" t="s">
        <v>138</v>
      </c>
      <c r="B67" s="31">
        <v>1.021555</v>
      </c>
      <c r="C67" s="31">
        <v>0.80259999999999998</v>
      </c>
      <c r="D67" s="31">
        <v>2.258937</v>
      </c>
      <c r="E67" s="31">
        <v>1.61107</v>
      </c>
      <c r="F67" s="31">
        <v>0.16014800000000001</v>
      </c>
      <c r="G67" s="31">
        <v>1.0191410000000001</v>
      </c>
    </row>
    <row r="68" spans="1:7" x14ac:dyDescent="0.2">
      <c r="A68" s="11" t="s">
        <v>139</v>
      </c>
      <c r="B68" s="19">
        <v>420.64100000000002</v>
      </c>
      <c r="C68" s="19">
        <v>420.37</v>
      </c>
      <c r="D68" s="19">
        <v>429.95</v>
      </c>
      <c r="E68" s="19">
        <v>506.24799999999999</v>
      </c>
      <c r="F68" s="19">
        <v>615.52800000000002</v>
      </c>
      <c r="G68" s="19">
        <v>616.947</v>
      </c>
    </row>
    <row r="69" spans="1:7" x14ac:dyDescent="0.2">
      <c r="A69" s="11"/>
      <c r="B69" s="11"/>
      <c r="C69" s="11"/>
      <c r="D69" s="11"/>
      <c r="E69" s="11"/>
      <c r="F69" s="11"/>
      <c r="G69" s="11"/>
    </row>
    <row r="70" spans="1:7" x14ac:dyDescent="0.2">
      <c r="A70" s="11" t="s">
        <v>140</v>
      </c>
      <c r="B70" s="22">
        <v>1.02</v>
      </c>
      <c r="C70" s="22">
        <v>0.8</v>
      </c>
      <c r="D70" s="22">
        <v>2.25</v>
      </c>
      <c r="E70" s="22">
        <v>1.6</v>
      </c>
      <c r="F70" s="22">
        <v>0.16</v>
      </c>
      <c r="G70" s="22">
        <v>1.02</v>
      </c>
    </row>
    <row r="71" spans="1:7" x14ac:dyDescent="0.2">
      <c r="A71" s="11" t="s">
        <v>141</v>
      </c>
      <c r="B71" s="31">
        <v>1.02</v>
      </c>
      <c r="C71" s="31">
        <v>0.799952</v>
      </c>
      <c r="D71" s="31">
        <v>2.250502</v>
      </c>
      <c r="E71" s="31">
        <v>1.600922</v>
      </c>
      <c r="F71" s="31">
        <v>0.16</v>
      </c>
      <c r="G71" s="31">
        <v>1.0171619999999999</v>
      </c>
    </row>
    <row r="72" spans="1:7" x14ac:dyDescent="0.2">
      <c r="A72" s="11" t="s">
        <v>142</v>
      </c>
      <c r="B72" s="19">
        <v>421.37900000000002</v>
      </c>
      <c r="C72" s="19">
        <v>421.79899999999998</v>
      </c>
      <c r="D72" s="19">
        <v>431.63299999999998</v>
      </c>
      <c r="E72" s="19">
        <v>511.38499999999999</v>
      </c>
      <c r="F72" s="19">
        <v>617.85799999999995</v>
      </c>
      <c r="G72" s="19">
        <v>618.19899999999996</v>
      </c>
    </row>
    <row r="73" spans="1:7" x14ac:dyDescent="0.2">
      <c r="A73" s="11"/>
      <c r="B73" s="11"/>
      <c r="C73" s="11"/>
      <c r="D73" s="11"/>
      <c r="E73" s="11"/>
      <c r="F73" s="11"/>
      <c r="G73" s="11"/>
    </row>
    <row r="74" spans="1:7" x14ac:dyDescent="0.2">
      <c r="A74" s="11" t="s">
        <v>143</v>
      </c>
      <c r="B74" s="22">
        <v>0.53</v>
      </c>
      <c r="C74" s="22">
        <v>0.56000000000000005</v>
      </c>
      <c r="D74" s="22">
        <v>0.32</v>
      </c>
      <c r="E74" s="22">
        <v>0.45</v>
      </c>
      <c r="F74" s="22">
        <v>0.53</v>
      </c>
      <c r="G74" s="22">
        <v>0.64</v>
      </c>
    </row>
    <row r="75" spans="1:7" x14ac:dyDescent="0.2">
      <c r="A75" s="11" t="s">
        <v>144</v>
      </c>
      <c r="B75" s="31">
        <v>0.53145399999999998</v>
      </c>
      <c r="C75" s="31">
        <v>0.55448500000000001</v>
      </c>
      <c r="D75" s="31">
        <v>0.322434</v>
      </c>
      <c r="E75" s="31">
        <v>0.44223099999999999</v>
      </c>
      <c r="F75" s="31">
        <v>0.52544400000000002</v>
      </c>
      <c r="G75" s="31">
        <v>0.63772899999999999</v>
      </c>
    </row>
    <row r="76" spans="1:7" x14ac:dyDescent="0.2">
      <c r="A76" s="11"/>
      <c r="B76" s="11"/>
      <c r="C76" s="11"/>
      <c r="D76" s="11"/>
      <c r="E76" s="11"/>
      <c r="F76" s="11"/>
      <c r="G76" s="11"/>
    </row>
    <row r="77" spans="1:7" x14ac:dyDescent="0.2">
      <c r="A77" s="11" t="s">
        <v>145</v>
      </c>
      <c r="B77" s="22">
        <v>1.1200000000000001</v>
      </c>
      <c r="C77" s="22">
        <v>1.1200000000000001</v>
      </c>
      <c r="D77" s="22">
        <v>0.54</v>
      </c>
      <c r="E77" s="22">
        <v>0.68</v>
      </c>
      <c r="F77" s="22">
        <v>0.84</v>
      </c>
      <c r="G77" s="22">
        <v>0.93</v>
      </c>
    </row>
    <row r="78" spans="1:7" x14ac:dyDescent="0.2">
      <c r="A78" s="11" t="s">
        <v>146</v>
      </c>
      <c r="B78" s="32">
        <v>1.0642050000000001</v>
      </c>
      <c r="C78" s="32">
        <v>1.294589</v>
      </c>
      <c r="D78" s="32">
        <v>0.37955699999999998</v>
      </c>
      <c r="E78" s="32">
        <v>0.45273099999999999</v>
      </c>
      <c r="F78" s="32">
        <v>4.3241560000000003</v>
      </c>
      <c r="G78" s="32">
        <v>1.0048710000000001</v>
      </c>
    </row>
    <row r="79" spans="1:7" x14ac:dyDescent="0.2">
      <c r="A79" s="11"/>
      <c r="B79" s="11"/>
      <c r="C79" s="11"/>
      <c r="D79" s="11"/>
      <c r="E79" s="11"/>
      <c r="F79" s="11"/>
      <c r="G79" s="11"/>
    </row>
    <row r="80" spans="1:7" x14ac:dyDescent="0.2">
      <c r="A80" s="11" t="s">
        <v>147</v>
      </c>
      <c r="B80" s="33">
        <v>1</v>
      </c>
      <c r="C80" s="33">
        <v>1</v>
      </c>
      <c r="D80" s="33">
        <v>1</v>
      </c>
      <c r="E80" s="33">
        <v>1</v>
      </c>
      <c r="F80" s="33">
        <v>1</v>
      </c>
      <c r="G80" s="33">
        <v>1</v>
      </c>
    </row>
    <row r="81" spans="1:7" x14ac:dyDescent="0.2">
      <c r="A81" s="11"/>
      <c r="B81" s="11"/>
      <c r="C81" s="11"/>
      <c r="D81" s="11"/>
      <c r="E81" s="11"/>
      <c r="F81" s="11"/>
      <c r="G81" s="11"/>
    </row>
    <row r="82" spans="1:7" x14ac:dyDescent="0.2">
      <c r="A82" s="9" t="s">
        <v>148</v>
      </c>
      <c r="B82" s="11"/>
      <c r="C82" s="11"/>
      <c r="D82" s="11"/>
      <c r="E82" s="11"/>
      <c r="F82" s="11"/>
      <c r="G82" s="11"/>
    </row>
    <row r="83" spans="1:7" x14ac:dyDescent="0.2">
      <c r="A83" s="11" t="s">
        <v>35</v>
      </c>
      <c r="B83" s="19" t="s">
        <v>36</v>
      </c>
      <c r="C83" s="19" t="s">
        <v>36</v>
      </c>
      <c r="D83" s="19" t="s">
        <v>36</v>
      </c>
      <c r="E83" s="19" t="s">
        <v>36</v>
      </c>
      <c r="F83" s="19">
        <v>976.35599999999999</v>
      </c>
      <c r="G83" s="19">
        <v>970.01800000000003</v>
      </c>
    </row>
    <row r="84" spans="1:7" x14ac:dyDescent="0.2">
      <c r="A84" s="11" t="s">
        <v>32</v>
      </c>
      <c r="B84" s="19">
        <v>721.95299999999997</v>
      </c>
      <c r="C84" s="19">
        <v>743.29100000000005</v>
      </c>
      <c r="D84" s="19">
        <v>595.99199999999996</v>
      </c>
      <c r="E84" s="19">
        <v>824.61</v>
      </c>
      <c r="F84" s="19">
        <v>1059.55</v>
      </c>
      <c r="G84" s="19">
        <v>1079.2090000000001</v>
      </c>
    </row>
    <row r="85" spans="1:7" x14ac:dyDescent="0.2">
      <c r="A85" s="11" t="s">
        <v>149</v>
      </c>
      <c r="B85" s="19">
        <v>464.27300000000002</v>
      </c>
      <c r="C85" s="19">
        <v>500.21199999999999</v>
      </c>
      <c r="D85" s="19">
        <v>336.53699999999998</v>
      </c>
      <c r="E85" s="19">
        <v>512.49</v>
      </c>
      <c r="F85" s="19">
        <v>676.15</v>
      </c>
      <c r="G85" s="19">
        <v>671.14400000000001</v>
      </c>
    </row>
    <row r="86" spans="1:7" x14ac:dyDescent="0.2">
      <c r="A86" s="11" t="s">
        <v>33</v>
      </c>
      <c r="B86" s="19">
        <v>431.77300000000002</v>
      </c>
      <c r="C86" s="19">
        <v>447.11200000000002</v>
      </c>
      <c r="D86" s="19">
        <v>332.75200000000001</v>
      </c>
      <c r="E86" s="19">
        <v>447.233</v>
      </c>
      <c r="F86" s="19">
        <v>571.64099999999996</v>
      </c>
      <c r="G86" s="19">
        <v>593.697</v>
      </c>
    </row>
    <row r="87" spans="1:7" x14ac:dyDescent="0.2">
      <c r="A87" s="11" t="s">
        <v>150</v>
      </c>
      <c r="B87" s="19">
        <v>732.88199999999995</v>
      </c>
      <c r="C87" s="19">
        <v>757.95899999999995</v>
      </c>
      <c r="D87" s="19">
        <v>609.21500000000003</v>
      </c>
      <c r="E87" s="19">
        <v>840.21900000000005</v>
      </c>
      <c r="F87" s="19">
        <v>1076.6869999999999</v>
      </c>
      <c r="G87" s="19">
        <v>1096.1859999999999</v>
      </c>
    </row>
    <row r="88" spans="1:7" x14ac:dyDescent="0.2">
      <c r="A88" s="11" t="s">
        <v>151</v>
      </c>
      <c r="B88" s="19">
        <v>1164.7619999999999</v>
      </c>
      <c r="C88" s="19">
        <v>1158.884</v>
      </c>
      <c r="D88" s="19">
        <v>1057.893</v>
      </c>
      <c r="E88" s="19">
        <v>1364.585</v>
      </c>
      <c r="F88" s="19">
        <v>1727.684</v>
      </c>
      <c r="G88" s="19">
        <v>1783.4</v>
      </c>
    </row>
    <row r="89" spans="1:7" x14ac:dyDescent="0.2">
      <c r="A89" s="11" t="s">
        <v>152</v>
      </c>
      <c r="B89" s="32">
        <v>3.199E-3</v>
      </c>
      <c r="C89" s="32" t="s">
        <v>153</v>
      </c>
      <c r="D89" s="32">
        <v>9.7400000000000004E-4</v>
      </c>
      <c r="E89" s="32">
        <v>3.9620000000000002E-3</v>
      </c>
      <c r="F89" s="32">
        <v>0.33094600000000002</v>
      </c>
      <c r="G89" s="32">
        <v>8.3850999999999995E-2</v>
      </c>
    </row>
    <row r="90" spans="1:7" x14ac:dyDescent="0.2">
      <c r="A90" s="11"/>
      <c r="B90" s="11"/>
      <c r="C90" s="11"/>
      <c r="D90" s="11"/>
      <c r="E90" s="11"/>
      <c r="F90" s="11"/>
      <c r="G90" s="11"/>
    </row>
    <row r="91" spans="1:7" x14ac:dyDescent="0.2">
      <c r="A91" s="11" t="s">
        <v>154</v>
      </c>
      <c r="B91" s="19">
        <v>223.94387499999999</v>
      </c>
      <c r="C91" s="19">
        <v>233.88149999999999</v>
      </c>
      <c r="D91" s="19">
        <v>139.17349999999999</v>
      </c>
      <c r="E91" s="19">
        <v>226.15049999999999</v>
      </c>
      <c r="F91" s="19">
        <v>324.650125</v>
      </c>
      <c r="G91" s="19">
        <v>394.24400000000003</v>
      </c>
    </row>
    <row r="92" spans="1:7" x14ac:dyDescent="0.2">
      <c r="A92" s="11" t="s">
        <v>155</v>
      </c>
      <c r="B92" s="19">
        <v>17.548999999999999</v>
      </c>
      <c r="C92" s="19">
        <v>15.69</v>
      </c>
      <c r="D92" s="19">
        <v>13.683</v>
      </c>
      <c r="E92" s="19">
        <v>0.58299999999999996</v>
      </c>
      <c r="F92" s="19">
        <v>0.66800000000000004</v>
      </c>
      <c r="G92" s="19">
        <v>2.3130000000000002</v>
      </c>
    </row>
    <row r="93" spans="1:7" x14ac:dyDescent="0.2">
      <c r="A93" s="11" t="s">
        <v>156</v>
      </c>
      <c r="B93" s="19" t="s">
        <v>30</v>
      </c>
      <c r="C93" s="19" t="s">
        <v>30</v>
      </c>
      <c r="D93" s="19" t="s">
        <v>30</v>
      </c>
      <c r="E93" s="19" t="s">
        <v>30</v>
      </c>
      <c r="F93" s="19">
        <v>0.60199999999999998</v>
      </c>
      <c r="G93" s="19">
        <v>-11.1</v>
      </c>
    </row>
    <row r="94" spans="1:7" x14ac:dyDescent="0.2">
      <c r="A94" s="11" t="s">
        <v>157</v>
      </c>
      <c r="B94" s="34">
        <v>44250</v>
      </c>
      <c r="C94" s="34">
        <v>44621</v>
      </c>
      <c r="D94" s="34">
        <v>44981</v>
      </c>
      <c r="E94" s="34">
        <v>45348</v>
      </c>
      <c r="F94" s="34">
        <v>45348</v>
      </c>
      <c r="G94" s="34">
        <v>45348</v>
      </c>
    </row>
    <row r="95" spans="1:7" x14ac:dyDescent="0.2">
      <c r="A95" s="11" t="s">
        <v>158</v>
      </c>
      <c r="B95" s="18" t="s">
        <v>159</v>
      </c>
      <c r="C95" s="18" t="s">
        <v>159</v>
      </c>
      <c r="D95" s="18" t="s">
        <v>160</v>
      </c>
      <c r="E95" s="18" t="s">
        <v>159</v>
      </c>
      <c r="F95" s="18" t="s">
        <v>160</v>
      </c>
      <c r="G95" s="18" t="s">
        <v>161</v>
      </c>
    </row>
    <row r="96" spans="1:7" x14ac:dyDescent="0.2">
      <c r="A96" s="11" t="s">
        <v>162</v>
      </c>
      <c r="B96" s="18" t="s">
        <v>163</v>
      </c>
      <c r="C96" s="18" t="s">
        <v>163</v>
      </c>
      <c r="D96" s="18" t="s">
        <v>163</v>
      </c>
      <c r="E96" s="18" t="s">
        <v>163</v>
      </c>
      <c r="F96" s="18" t="s">
        <v>163</v>
      </c>
      <c r="G96" s="18" t="s">
        <v>163</v>
      </c>
    </row>
    <row r="97" spans="1:7" x14ac:dyDescent="0.2">
      <c r="A97" s="11"/>
      <c r="B97" s="11"/>
      <c r="C97" s="11"/>
      <c r="D97" s="11"/>
      <c r="E97" s="11"/>
      <c r="F97" s="11"/>
      <c r="G97" s="11"/>
    </row>
    <row r="98" spans="1:7" x14ac:dyDescent="0.2">
      <c r="A98" s="9" t="s">
        <v>164</v>
      </c>
      <c r="B98" s="11"/>
      <c r="C98" s="11"/>
      <c r="D98" s="11"/>
      <c r="E98" s="11"/>
      <c r="F98" s="11"/>
      <c r="G98" s="11"/>
    </row>
    <row r="99" spans="1:7" x14ac:dyDescent="0.2">
      <c r="A99" s="11" t="s">
        <v>165</v>
      </c>
      <c r="B99" s="19">
        <v>87.796999999999997</v>
      </c>
      <c r="C99" s="19">
        <v>93.584999999999994</v>
      </c>
      <c r="D99" s="19">
        <v>91.263999999999996</v>
      </c>
      <c r="E99" s="19">
        <v>102.285</v>
      </c>
      <c r="F99" s="19">
        <v>118.208</v>
      </c>
      <c r="G99" s="19">
        <v>135.827</v>
      </c>
    </row>
    <row r="100" spans="1:7" x14ac:dyDescent="0.2">
      <c r="A100" s="11" t="s">
        <v>166</v>
      </c>
      <c r="B100" s="19">
        <v>5.3</v>
      </c>
      <c r="C100" s="19">
        <v>1.7</v>
      </c>
      <c r="D100" s="19">
        <v>3.2</v>
      </c>
      <c r="E100" s="19">
        <v>3.1</v>
      </c>
      <c r="F100" s="19">
        <v>3.5</v>
      </c>
      <c r="G100" s="19">
        <v>4.5</v>
      </c>
    </row>
    <row r="101" spans="1:7" x14ac:dyDescent="0.2">
      <c r="A101" s="11" t="s">
        <v>167</v>
      </c>
      <c r="B101" s="19">
        <v>10.929</v>
      </c>
      <c r="C101" s="19">
        <v>14.667999999999999</v>
      </c>
      <c r="D101" s="19">
        <v>13.223000000000001</v>
      </c>
      <c r="E101" s="19">
        <v>15.609</v>
      </c>
      <c r="F101" s="19">
        <v>17.137</v>
      </c>
      <c r="G101" s="19">
        <v>16.977</v>
      </c>
    </row>
    <row r="102" spans="1:7" x14ac:dyDescent="0.2">
      <c r="A102" s="11" t="s">
        <v>168</v>
      </c>
      <c r="B102" s="19">
        <v>3.3930609999999999</v>
      </c>
      <c r="C102" s="19">
        <v>4.4069710000000004</v>
      </c>
      <c r="D102" s="19">
        <v>3.9074490000000002</v>
      </c>
      <c r="E102" s="19">
        <v>3.9172349999999998</v>
      </c>
      <c r="F102" s="19">
        <v>4.1944520000000001</v>
      </c>
      <c r="G102" s="19">
        <v>4.5657259999999997</v>
      </c>
    </row>
    <row r="103" spans="1:7" x14ac:dyDescent="0.2">
      <c r="A103" s="11" t="s">
        <v>169</v>
      </c>
      <c r="B103" s="19">
        <v>7.5359389999999999</v>
      </c>
      <c r="C103" s="19">
        <v>10.261029000000001</v>
      </c>
      <c r="D103" s="19">
        <v>9.3155509999999992</v>
      </c>
      <c r="E103" s="19">
        <v>11.691765</v>
      </c>
      <c r="F103" s="19">
        <v>12.942548</v>
      </c>
      <c r="G103" s="19">
        <v>12.411274000000001</v>
      </c>
    </row>
    <row r="104" spans="1:7" x14ac:dyDescent="0.2">
      <c r="A104" s="11"/>
      <c r="B104" s="11"/>
      <c r="C104" s="11"/>
      <c r="D104" s="11"/>
      <c r="E104" s="11"/>
      <c r="F104" s="11"/>
      <c r="G104" s="11"/>
    </row>
    <row r="105" spans="1:7" x14ac:dyDescent="0.2">
      <c r="A105" s="11" t="s">
        <v>170</v>
      </c>
      <c r="B105" s="19">
        <v>18.221</v>
      </c>
      <c r="C105" s="19">
        <v>20.2</v>
      </c>
      <c r="D105" s="19">
        <v>23.684999999999999</v>
      </c>
      <c r="E105" s="19">
        <v>23.15</v>
      </c>
      <c r="F105" s="19">
        <v>26.638999999999999</v>
      </c>
      <c r="G105" s="19">
        <v>33.054000000000002</v>
      </c>
    </row>
    <row r="106" spans="1:7" x14ac:dyDescent="0.2">
      <c r="A106" s="9" t="s">
        <v>171</v>
      </c>
      <c r="B106" s="15">
        <v>18.221</v>
      </c>
      <c r="C106" s="15">
        <v>20.2</v>
      </c>
      <c r="D106" s="15">
        <v>23.684999999999999</v>
      </c>
      <c r="E106" s="15">
        <v>23.15</v>
      </c>
      <c r="F106" s="15">
        <v>26.638999999999999</v>
      </c>
      <c r="G106" s="15">
        <v>33.054000000000002</v>
      </c>
    </row>
    <row r="107" spans="1:7" x14ac:dyDescent="0.2">
      <c r="A107" s="11"/>
      <c r="B107" s="11"/>
      <c r="C107" s="11"/>
      <c r="D107" s="11"/>
      <c r="E107" s="11"/>
      <c r="F107" s="11"/>
      <c r="G107" s="11"/>
    </row>
    <row r="108" spans="1:7" x14ac:dyDescent="0.2">
      <c r="A108" s="28" t="s">
        <v>172</v>
      </c>
      <c r="B108" s="12"/>
      <c r="C108" s="12"/>
      <c r="D108" s="12"/>
      <c r="E108" s="12"/>
      <c r="F108" s="12"/>
      <c r="G108" s="12"/>
    </row>
    <row r="109" spans="1:7" x14ac:dyDescent="0.2">
      <c r="A109" s="35" t="s">
        <v>173</v>
      </c>
    </row>
    <row r="110" spans="1:7" x14ac:dyDescent="0.2">
      <c r="A110" s="26" t="s">
        <v>76</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91"/>
  <sheetViews>
    <sheetView workbookViewId="0"/>
    <sheetView workbookViewId="1"/>
    <sheetView workbookViewId="2"/>
  </sheetViews>
  <sheetFormatPr defaultRowHeight="10.199999999999999" x14ac:dyDescent="0.2"/>
  <cols>
    <col min="1" max="1" width="45.77734375" customWidth="1"/>
    <col min="2" max="7" width="14.77734375" customWidth="1"/>
  </cols>
  <sheetData>
    <row r="5" spans="1:255" ht="16.2" x14ac:dyDescent="0.25">
      <c r="A5" s="1" t="s">
        <v>174</v>
      </c>
    </row>
    <row r="7" spans="1:255" x14ac:dyDescent="0.2">
      <c r="A7" s="2" t="s">
        <v>175</v>
      </c>
      <c r="B7" s="3" t="s">
        <v>176</v>
      </c>
      <c r="C7" t="s">
        <v>80</v>
      </c>
      <c r="D7" s="4" t="s">
        <v>4</v>
      </c>
      <c r="E7" s="3" t="s">
        <v>177</v>
      </c>
      <c r="F7" t="s">
        <v>82</v>
      </c>
    </row>
    <row r="8" spans="1:255" x14ac:dyDescent="0.2">
      <c r="A8" s="4"/>
      <c r="B8" s="3" t="s">
        <v>178</v>
      </c>
      <c r="C8" t="s">
        <v>84</v>
      </c>
      <c r="D8" s="4" t="s">
        <v>4</v>
      </c>
      <c r="E8" s="3" t="s">
        <v>179</v>
      </c>
      <c r="F8" t="s">
        <v>8</v>
      </c>
    </row>
    <row r="9" spans="1:255" x14ac:dyDescent="0.2">
      <c r="A9" s="4"/>
      <c r="B9" s="3" t="s">
        <v>180</v>
      </c>
      <c r="C9" t="s">
        <v>87</v>
      </c>
      <c r="D9" s="4" t="s">
        <v>4</v>
      </c>
      <c r="E9" s="3" t="s">
        <v>181</v>
      </c>
      <c r="F9" t="s">
        <v>6</v>
      </c>
    </row>
    <row r="10" spans="1:255" x14ac:dyDescent="0.2">
      <c r="A10" s="4"/>
      <c r="B10" s="3" t="s">
        <v>182</v>
      </c>
      <c r="C10" t="s">
        <v>10</v>
      </c>
      <c r="D10" s="4" t="s">
        <v>4</v>
      </c>
      <c r="E10" s="3" t="s">
        <v>183</v>
      </c>
      <c r="F10" s="5" t="s">
        <v>12</v>
      </c>
    </row>
    <row r="11" spans="1:255" x14ac:dyDescent="0.2">
      <c r="A11" s="4"/>
      <c r="B11" s="3" t="s">
        <v>184</v>
      </c>
      <c r="C11" t="s">
        <v>92</v>
      </c>
      <c r="D11" s="4" t="s">
        <v>4</v>
      </c>
      <c r="E11" s="27"/>
      <c r="F11" s="27"/>
    </row>
    <row r="14" spans="1:255" x14ac:dyDescent="0.2">
      <c r="A14" s="6" t="s">
        <v>185</v>
      </c>
      <c r="B14" s="6"/>
      <c r="C14" s="6"/>
      <c r="D14" s="6"/>
      <c r="E14" s="6"/>
      <c r="F14" s="6"/>
      <c r="G14" s="6"/>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75"/>
      <c r="CZ14" s="75"/>
      <c r="DA14" s="75"/>
      <c r="DB14" s="75"/>
      <c r="DC14" s="75"/>
      <c r="DD14" s="75"/>
      <c r="DE14" s="75"/>
      <c r="DF14" s="75"/>
      <c r="DG14" s="75"/>
      <c r="DH14" s="75"/>
      <c r="DI14" s="75"/>
      <c r="DJ14" s="75"/>
      <c r="DK14" s="75"/>
      <c r="DL14" s="75"/>
      <c r="DM14" s="75"/>
      <c r="DN14" s="75"/>
      <c r="DO14" s="75"/>
      <c r="DP14" s="75"/>
      <c r="DQ14" s="75"/>
      <c r="DR14" s="75"/>
      <c r="DS14" s="75"/>
      <c r="DT14" s="75"/>
      <c r="DU14" s="75"/>
      <c r="DV14" s="75"/>
      <c r="DW14" s="75"/>
      <c r="DX14" s="75"/>
      <c r="DY14" s="75"/>
      <c r="DZ14" s="75"/>
      <c r="EA14" s="75"/>
      <c r="EB14" s="75"/>
      <c r="EC14" s="75"/>
      <c r="ED14" s="75"/>
      <c r="EE14" s="75"/>
      <c r="EF14" s="75"/>
      <c r="EG14" s="75"/>
      <c r="EH14" s="75"/>
      <c r="EI14" s="75"/>
      <c r="EJ14" s="75"/>
      <c r="EK14" s="75"/>
      <c r="EL14" s="75"/>
      <c r="EM14" s="75"/>
      <c r="EN14" s="75"/>
      <c r="EO14" s="75"/>
      <c r="EP14" s="75"/>
      <c r="EQ14" s="75"/>
      <c r="ER14" s="75"/>
      <c r="ES14" s="75"/>
      <c r="ET14" s="75"/>
      <c r="EU14" s="75"/>
      <c r="EV14" s="75"/>
      <c r="EW14" s="75"/>
      <c r="EX14" s="75"/>
      <c r="EY14" s="75"/>
      <c r="EZ14" s="75"/>
      <c r="FA14" s="75"/>
      <c r="FB14" s="75"/>
      <c r="FC14" s="75"/>
      <c r="FD14" s="75"/>
      <c r="FE14" s="75"/>
      <c r="FF14" s="75"/>
      <c r="FG14" s="75"/>
      <c r="FH14" s="75"/>
      <c r="FI14" s="75"/>
      <c r="FJ14" s="75"/>
      <c r="FK14" s="75"/>
      <c r="FL14" s="75"/>
      <c r="FM14" s="75"/>
      <c r="FN14" s="75"/>
      <c r="FO14" s="75"/>
      <c r="FP14" s="75"/>
      <c r="FQ14" s="75"/>
      <c r="FR14" s="75"/>
      <c r="FS14" s="75"/>
      <c r="FT14" s="75"/>
      <c r="FU14" s="75"/>
      <c r="FV14" s="75"/>
      <c r="FW14" s="75"/>
      <c r="FX14" s="75"/>
      <c r="FY14" s="75"/>
      <c r="FZ14" s="75"/>
      <c r="GA14" s="75"/>
      <c r="GB14" s="75"/>
      <c r="GC14" s="75"/>
      <c r="GD14" s="75"/>
      <c r="GE14" s="75"/>
      <c r="GF14" s="75"/>
      <c r="GG14" s="75"/>
      <c r="GH14" s="75"/>
      <c r="GI14" s="75"/>
      <c r="GJ14" s="75"/>
      <c r="GK14" s="75"/>
      <c r="GL14" s="75"/>
      <c r="GM14" s="75"/>
      <c r="GN14" s="75"/>
      <c r="GO14" s="75"/>
      <c r="GP14" s="75"/>
      <c r="GQ14" s="75"/>
      <c r="GR14" s="75"/>
      <c r="GS14" s="75"/>
      <c r="GT14" s="75"/>
      <c r="GU14" s="75"/>
      <c r="GV14" s="75"/>
      <c r="GW14" s="75"/>
      <c r="GX14" s="75"/>
      <c r="GY14" s="75"/>
      <c r="GZ14" s="75"/>
      <c r="HA14" s="75"/>
      <c r="HB14" s="75"/>
      <c r="HC14" s="75"/>
      <c r="HD14" s="75"/>
      <c r="HE14" s="75"/>
      <c r="HF14" s="75"/>
      <c r="HG14" s="75"/>
      <c r="HH14" s="75"/>
      <c r="HI14" s="75"/>
      <c r="HJ14" s="75"/>
      <c r="HK14" s="75"/>
      <c r="HL14" s="75"/>
      <c r="HM14" s="75"/>
      <c r="HN14" s="75"/>
      <c r="HO14" s="75"/>
      <c r="HP14" s="75"/>
      <c r="HQ14" s="75"/>
      <c r="HR14" s="75"/>
      <c r="HS14" s="75"/>
      <c r="HT14" s="75"/>
      <c r="HU14" s="75"/>
      <c r="HV14" s="75"/>
      <c r="HW14" s="75"/>
      <c r="HX14" s="75"/>
      <c r="HY14" s="75"/>
      <c r="HZ14" s="75"/>
      <c r="IA14" s="75"/>
      <c r="IB14" s="75"/>
      <c r="IC14" s="75"/>
      <c r="ID14" s="75"/>
      <c r="IE14" s="75"/>
      <c r="IF14" s="75"/>
      <c r="IG14" s="75"/>
      <c r="IH14" s="75"/>
      <c r="II14" s="75"/>
      <c r="IJ14" s="75"/>
      <c r="IK14" s="75"/>
      <c r="IL14" s="75"/>
      <c r="IM14" s="75"/>
      <c r="IN14" s="75"/>
      <c r="IO14" s="75"/>
      <c r="IP14" s="75"/>
      <c r="IQ14" s="75"/>
      <c r="IR14" s="75"/>
      <c r="IS14" s="75"/>
      <c r="IT14" s="75"/>
      <c r="IU14" s="75"/>
    </row>
    <row r="15" spans="1:255" ht="20.399999999999999" x14ac:dyDescent="0.2">
      <c r="A15" s="7" t="s">
        <v>186</v>
      </c>
      <c r="B15" s="36">
        <v>43465</v>
      </c>
      <c r="C15" s="13" t="s">
        <v>187</v>
      </c>
      <c r="D15" s="13" t="s">
        <v>188</v>
      </c>
      <c r="E15" s="13" t="s">
        <v>189</v>
      </c>
      <c r="F15" s="13" t="s">
        <v>190</v>
      </c>
      <c r="G15" s="36">
        <v>45291</v>
      </c>
    </row>
    <row r="16" spans="1:255" x14ac:dyDescent="0.2">
      <c r="A16" s="8" t="s">
        <v>25</v>
      </c>
      <c r="B16" s="14" t="s">
        <v>26</v>
      </c>
      <c r="C16" s="14" t="s">
        <v>26</v>
      </c>
      <c r="D16" s="14" t="s">
        <v>26</v>
      </c>
      <c r="E16" s="14" t="s">
        <v>26</v>
      </c>
      <c r="F16" s="14" t="s">
        <v>26</v>
      </c>
      <c r="G16" s="14" t="s">
        <v>26</v>
      </c>
    </row>
    <row r="17" spans="1:7" x14ac:dyDescent="0.2">
      <c r="A17" s="9" t="s">
        <v>191</v>
      </c>
      <c r="B17" s="11"/>
      <c r="C17" s="11"/>
      <c r="D17" s="11"/>
      <c r="E17" s="11"/>
      <c r="F17" s="11"/>
      <c r="G17" s="11"/>
    </row>
    <row r="18" spans="1:7" x14ac:dyDescent="0.2">
      <c r="A18" s="11" t="s">
        <v>192</v>
      </c>
      <c r="B18" s="19">
        <v>11192.31</v>
      </c>
      <c r="C18" s="19">
        <v>11383.474</v>
      </c>
      <c r="D18" s="19">
        <v>11549.37</v>
      </c>
      <c r="E18" s="19">
        <v>17170.085999999999</v>
      </c>
      <c r="F18" s="19">
        <v>17558.896000000001</v>
      </c>
      <c r="G18" s="19">
        <v>18046.155999999999</v>
      </c>
    </row>
    <row r="19" spans="1:7" x14ac:dyDescent="0.2">
      <c r="A19" s="11" t="s">
        <v>193</v>
      </c>
      <c r="B19" s="19">
        <v>-1918.7</v>
      </c>
      <c r="C19" s="19">
        <v>-2015</v>
      </c>
      <c r="D19" s="19">
        <v>-2218.1</v>
      </c>
      <c r="E19" s="19">
        <v>-2441.1</v>
      </c>
      <c r="F19" s="19">
        <v>-2745.6</v>
      </c>
      <c r="G19" s="19">
        <v>-3091.7</v>
      </c>
    </row>
    <row r="20" spans="1:7" x14ac:dyDescent="0.2">
      <c r="A20" s="9" t="s">
        <v>194</v>
      </c>
      <c r="B20" s="29">
        <v>9273.5990000000002</v>
      </c>
      <c r="C20" s="29">
        <v>9368.4609999999993</v>
      </c>
      <c r="D20" s="29">
        <v>9331.2780000000002</v>
      </c>
      <c r="E20" s="29">
        <v>14729.035</v>
      </c>
      <c r="F20" s="29">
        <v>14813.276</v>
      </c>
      <c r="G20" s="29">
        <v>14954.502</v>
      </c>
    </row>
    <row r="21" spans="1:7" x14ac:dyDescent="0.2">
      <c r="A21" s="11"/>
      <c r="B21" s="11"/>
      <c r="C21" s="11"/>
      <c r="D21" s="11"/>
      <c r="E21" s="11"/>
      <c r="F21" s="11"/>
      <c r="G21" s="11"/>
    </row>
    <row r="22" spans="1:7" x14ac:dyDescent="0.2">
      <c r="A22" s="11" t="s">
        <v>195</v>
      </c>
      <c r="B22" s="19">
        <v>38.731999999999999</v>
      </c>
      <c r="C22" s="19">
        <v>28.922999999999998</v>
      </c>
      <c r="D22" s="19">
        <v>22.952000000000002</v>
      </c>
      <c r="E22" s="19">
        <v>22</v>
      </c>
      <c r="F22" s="19">
        <v>22</v>
      </c>
      <c r="G22" s="19">
        <v>11.321999999999999</v>
      </c>
    </row>
    <row r="23" spans="1:7" x14ac:dyDescent="0.2">
      <c r="A23" s="9" t="s">
        <v>196</v>
      </c>
      <c r="B23" s="29">
        <v>9312.3310000000001</v>
      </c>
      <c r="C23" s="29">
        <v>9397.384</v>
      </c>
      <c r="D23" s="29">
        <v>9354.23</v>
      </c>
      <c r="E23" s="29">
        <v>14751.035</v>
      </c>
      <c r="F23" s="29">
        <v>14835.276</v>
      </c>
      <c r="G23" s="29">
        <v>14965.824000000001</v>
      </c>
    </row>
    <row r="24" spans="1:7" x14ac:dyDescent="0.2">
      <c r="A24" s="11"/>
      <c r="B24" s="11"/>
      <c r="C24" s="11"/>
      <c r="D24" s="11"/>
      <c r="E24" s="11"/>
      <c r="F24" s="11"/>
      <c r="G24" s="11"/>
    </row>
    <row r="25" spans="1:7" x14ac:dyDescent="0.2">
      <c r="A25" s="11" t="s">
        <v>197</v>
      </c>
      <c r="B25" s="19">
        <v>143.58099999999999</v>
      </c>
      <c r="C25" s="19">
        <v>123.947</v>
      </c>
      <c r="D25" s="19">
        <v>293.18799999999999</v>
      </c>
      <c r="E25" s="19">
        <v>334.66300000000001</v>
      </c>
      <c r="F25" s="19">
        <v>149.82900000000001</v>
      </c>
      <c r="G25" s="19">
        <v>783.75699999999995</v>
      </c>
    </row>
    <row r="26" spans="1:7" x14ac:dyDescent="0.2">
      <c r="A26" s="11" t="s">
        <v>198</v>
      </c>
      <c r="B26" s="19">
        <v>184.52799999999999</v>
      </c>
      <c r="C26" s="19">
        <v>218.68899999999999</v>
      </c>
      <c r="D26" s="19">
        <v>214.36799999999999</v>
      </c>
      <c r="E26" s="19">
        <v>238.952</v>
      </c>
      <c r="F26" s="19">
        <v>281.44400000000002</v>
      </c>
      <c r="G26" s="19">
        <v>298.10899999999998</v>
      </c>
    </row>
    <row r="27" spans="1:7" x14ac:dyDescent="0.2">
      <c r="A27" s="11" t="s">
        <v>199</v>
      </c>
      <c r="B27" s="19" t="s">
        <v>30</v>
      </c>
      <c r="C27" s="19" t="s">
        <v>30</v>
      </c>
      <c r="D27" s="19">
        <v>4.88</v>
      </c>
      <c r="E27" s="19">
        <v>15.725</v>
      </c>
      <c r="F27" s="19">
        <v>22.782</v>
      </c>
      <c r="G27" s="19">
        <v>9.5079999999999991</v>
      </c>
    </row>
    <row r="28" spans="1:7" x14ac:dyDescent="0.2">
      <c r="A28" s="11" t="s">
        <v>200</v>
      </c>
      <c r="B28" s="19">
        <v>201.16800000000001</v>
      </c>
      <c r="C28" s="19">
        <v>343.95299999999997</v>
      </c>
      <c r="D28" s="19">
        <v>824.09400000000005</v>
      </c>
      <c r="E28" s="19">
        <v>1333.7539999999999</v>
      </c>
      <c r="F28" s="19">
        <v>705.31299999999999</v>
      </c>
      <c r="G28" s="19">
        <v>474.14600000000002</v>
      </c>
    </row>
    <row r="29" spans="1:7" x14ac:dyDescent="0.2">
      <c r="A29" s="11" t="s">
        <v>201</v>
      </c>
      <c r="B29" s="19" t="s">
        <v>30</v>
      </c>
      <c r="C29" s="19" t="s">
        <v>30</v>
      </c>
      <c r="D29" s="19" t="s">
        <v>30</v>
      </c>
      <c r="E29" s="19" t="s">
        <v>30</v>
      </c>
      <c r="F29" s="19" t="s">
        <v>30</v>
      </c>
      <c r="G29" s="19" t="s">
        <v>30</v>
      </c>
    </row>
    <row r="30" spans="1:7" x14ac:dyDescent="0.2">
      <c r="A30" s="11" t="s">
        <v>202</v>
      </c>
      <c r="B30" s="19">
        <v>183.87200000000001</v>
      </c>
      <c r="C30" s="19">
        <v>145.464</v>
      </c>
      <c r="D30" s="19">
        <v>118.952</v>
      </c>
      <c r="E30" s="19">
        <v>456.39499999999998</v>
      </c>
      <c r="F30" s="19">
        <v>356.685</v>
      </c>
      <c r="G30" s="19">
        <v>301.75900000000001</v>
      </c>
    </row>
    <row r="31" spans="1:7" x14ac:dyDescent="0.2">
      <c r="A31" s="11" t="s">
        <v>203</v>
      </c>
      <c r="B31" s="19">
        <v>14.448</v>
      </c>
      <c r="C31" s="19">
        <v>7.8289999999999997</v>
      </c>
      <c r="D31" s="19">
        <v>32.246000000000002</v>
      </c>
      <c r="E31" s="19">
        <v>73.102000000000004</v>
      </c>
      <c r="F31" s="19">
        <v>87.358999999999995</v>
      </c>
      <c r="G31" s="19">
        <v>130.745</v>
      </c>
    </row>
    <row r="32" spans="1:7" x14ac:dyDescent="0.2">
      <c r="A32" s="11" t="s">
        <v>204</v>
      </c>
      <c r="B32" s="19">
        <v>17.2</v>
      </c>
      <c r="C32" s="19" t="s">
        <v>30</v>
      </c>
      <c r="D32" s="19" t="s">
        <v>30</v>
      </c>
      <c r="E32" s="19" t="s">
        <v>30</v>
      </c>
      <c r="F32" s="19">
        <v>56.3</v>
      </c>
      <c r="G32" s="19" t="s">
        <v>30</v>
      </c>
    </row>
    <row r="33" spans="1:7" x14ac:dyDescent="0.2">
      <c r="A33" s="11" t="s">
        <v>205</v>
      </c>
      <c r="B33" s="19">
        <v>13.375</v>
      </c>
      <c r="C33" s="19">
        <v>13.084</v>
      </c>
      <c r="D33" s="19">
        <v>13.015000000000001</v>
      </c>
      <c r="E33" s="19">
        <v>6.1390000000000002</v>
      </c>
      <c r="F33" s="19">
        <v>6.0010000000000003</v>
      </c>
      <c r="G33" s="19">
        <v>3.98</v>
      </c>
    </row>
    <row r="34" spans="1:7" x14ac:dyDescent="0.2">
      <c r="A34" s="11" t="s">
        <v>206</v>
      </c>
      <c r="B34" s="19">
        <v>156.155</v>
      </c>
      <c r="C34" s="19">
        <v>150.33000000000001</v>
      </c>
      <c r="D34" s="19">
        <v>141.56700000000001</v>
      </c>
      <c r="E34" s="19">
        <v>148.46100000000001</v>
      </c>
      <c r="F34" s="19">
        <v>150.363</v>
      </c>
      <c r="G34" s="19">
        <v>162.267</v>
      </c>
    </row>
    <row r="35" spans="1:7" x14ac:dyDescent="0.2">
      <c r="A35" s="11" t="s">
        <v>207</v>
      </c>
      <c r="B35" s="19">
        <v>772.44200000000001</v>
      </c>
      <c r="C35" s="19">
        <v>597.18700000000001</v>
      </c>
      <c r="D35" s="19">
        <v>617.95799999999997</v>
      </c>
      <c r="E35" s="19">
        <v>1100.973</v>
      </c>
      <c r="F35" s="19">
        <v>1174.77</v>
      </c>
      <c r="G35" s="19">
        <v>1143.9269999999999</v>
      </c>
    </row>
    <row r="36" spans="1:7" x14ac:dyDescent="0.2">
      <c r="A36" s="9" t="s">
        <v>208</v>
      </c>
      <c r="B36" s="30">
        <v>10999.1</v>
      </c>
      <c r="C36" s="30">
        <v>10997.867</v>
      </c>
      <c r="D36" s="30">
        <v>11614.498</v>
      </c>
      <c r="E36" s="30">
        <v>18459.199000000001</v>
      </c>
      <c r="F36" s="30">
        <v>17826.121999999999</v>
      </c>
      <c r="G36" s="30">
        <v>18274.022000000001</v>
      </c>
    </row>
    <row r="37" spans="1:7" x14ac:dyDescent="0.2">
      <c r="A37" s="11"/>
      <c r="B37" s="11"/>
      <c r="C37" s="11"/>
      <c r="D37" s="11"/>
      <c r="E37" s="11"/>
      <c r="F37" s="11"/>
      <c r="G37" s="11"/>
    </row>
    <row r="38" spans="1:7" x14ac:dyDescent="0.2">
      <c r="A38" s="9" t="s">
        <v>209</v>
      </c>
      <c r="B38" s="11"/>
      <c r="C38" s="11"/>
      <c r="D38" s="11"/>
      <c r="E38" s="11"/>
      <c r="F38" s="11"/>
      <c r="G38" s="11"/>
    </row>
    <row r="39" spans="1:7" x14ac:dyDescent="0.2">
      <c r="A39" s="11" t="s">
        <v>210</v>
      </c>
      <c r="B39" s="19" t="s">
        <v>30</v>
      </c>
      <c r="C39" s="19" t="s">
        <v>30</v>
      </c>
      <c r="D39" s="19" t="s">
        <v>30</v>
      </c>
      <c r="E39" s="19" t="s">
        <v>30</v>
      </c>
      <c r="F39" s="19" t="s">
        <v>30</v>
      </c>
      <c r="G39" s="19">
        <v>36.238</v>
      </c>
    </row>
    <row r="40" spans="1:7" x14ac:dyDescent="0.2">
      <c r="A40" s="11" t="s">
        <v>211</v>
      </c>
      <c r="B40" s="19">
        <v>4873.8720000000003</v>
      </c>
      <c r="C40" s="19">
        <v>5315.7669999999998</v>
      </c>
      <c r="D40" s="19">
        <v>5355.48</v>
      </c>
      <c r="E40" s="19">
        <v>7475.7020000000002</v>
      </c>
      <c r="F40" s="19">
        <v>7157.8860000000004</v>
      </c>
      <c r="G40" s="19">
        <v>7616.7960000000003</v>
      </c>
    </row>
    <row r="41" spans="1:7" x14ac:dyDescent="0.2">
      <c r="A41" s="11" t="s">
        <v>212</v>
      </c>
      <c r="B41" s="19" t="s">
        <v>30</v>
      </c>
      <c r="C41" s="19">
        <v>92.710999999999999</v>
      </c>
      <c r="D41" s="19">
        <v>96.619</v>
      </c>
      <c r="E41" s="19">
        <v>123.779</v>
      </c>
      <c r="F41" s="19">
        <v>113.679</v>
      </c>
      <c r="G41" s="19">
        <v>98.179000000000002</v>
      </c>
    </row>
    <row r="42" spans="1:7" x14ac:dyDescent="0.2">
      <c r="A42" s="11" t="s">
        <v>213</v>
      </c>
      <c r="B42" s="19">
        <v>174.90299999999999</v>
      </c>
      <c r="C42" s="19">
        <v>170.08199999999999</v>
      </c>
      <c r="D42" s="19">
        <v>146.45699999999999</v>
      </c>
      <c r="E42" s="19">
        <v>220.30799999999999</v>
      </c>
      <c r="F42" s="19">
        <v>207.815</v>
      </c>
      <c r="G42" s="19">
        <v>216.23699999999999</v>
      </c>
    </row>
    <row r="43" spans="1:7" x14ac:dyDescent="0.2">
      <c r="A43" s="11" t="s">
        <v>214</v>
      </c>
      <c r="B43" s="19">
        <v>130.262</v>
      </c>
      <c r="C43" s="19">
        <v>126.274</v>
      </c>
      <c r="D43" s="19">
        <v>5.3659999999999997</v>
      </c>
      <c r="E43" s="19">
        <v>5.3659999999999997</v>
      </c>
      <c r="F43" s="19">
        <v>5.3259999999999996</v>
      </c>
      <c r="G43" s="19">
        <v>5.3079999999999998</v>
      </c>
    </row>
    <row r="44" spans="1:7" x14ac:dyDescent="0.2">
      <c r="A44" s="11" t="s">
        <v>215</v>
      </c>
      <c r="B44" s="19">
        <v>12.768000000000001</v>
      </c>
      <c r="C44" s="19">
        <v>12.843999999999999</v>
      </c>
      <c r="D44" s="19">
        <v>12.765000000000001</v>
      </c>
      <c r="E44" s="19">
        <v>8.0579999999999998</v>
      </c>
      <c r="F44" s="19">
        <v>6.5510000000000002</v>
      </c>
      <c r="G44" s="19">
        <v>5.843</v>
      </c>
    </row>
    <row r="45" spans="1:7" x14ac:dyDescent="0.2">
      <c r="A45" s="11" t="s">
        <v>216</v>
      </c>
      <c r="B45" s="19">
        <v>372.56</v>
      </c>
      <c r="C45" s="19">
        <v>333.339</v>
      </c>
      <c r="D45" s="19">
        <v>311.77300000000002</v>
      </c>
      <c r="E45" s="19">
        <v>502.32400000000001</v>
      </c>
      <c r="F45" s="19">
        <v>595.02300000000002</v>
      </c>
      <c r="G45" s="19">
        <v>569.68600000000004</v>
      </c>
    </row>
    <row r="46" spans="1:7" x14ac:dyDescent="0.2">
      <c r="A46" s="9" t="s">
        <v>217</v>
      </c>
      <c r="B46" s="37">
        <v>5564.3649999999998</v>
      </c>
      <c r="C46" s="37">
        <v>6051.0169999999998</v>
      </c>
      <c r="D46" s="37">
        <v>5928.46</v>
      </c>
      <c r="E46" s="37">
        <v>8335.5370000000003</v>
      </c>
      <c r="F46" s="37">
        <v>8086.28</v>
      </c>
      <c r="G46" s="37">
        <v>8548.2870000000003</v>
      </c>
    </row>
    <row r="47" spans="1:7" x14ac:dyDescent="0.2">
      <c r="A47" s="11"/>
      <c r="B47" s="11"/>
      <c r="C47" s="11"/>
      <c r="D47" s="11"/>
      <c r="E47" s="11"/>
      <c r="F47" s="11"/>
      <c r="G47" s="11"/>
    </row>
    <row r="48" spans="1:7" x14ac:dyDescent="0.2">
      <c r="A48" s="11" t="s">
        <v>218</v>
      </c>
      <c r="B48" s="19">
        <v>4.2999999999999997E-2</v>
      </c>
      <c r="C48" s="19">
        <v>0.02</v>
      </c>
      <c r="D48" s="19">
        <v>0.02</v>
      </c>
      <c r="E48" s="19">
        <v>0.02</v>
      </c>
      <c r="F48" s="19">
        <v>1.9E-2</v>
      </c>
      <c r="G48" s="19">
        <v>1.9E-2</v>
      </c>
    </row>
    <row r="49" spans="1:7" x14ac:dyDescent="0.2">
      <c r="A49" s="9" t="s">
        <v>219</v>
      </c>
      <c r="B49" s="29">
        <v>4.2999999999999997E-2</v>
      </c>
      <c r="C49" s="29">
        <v>0.02</v>
      </c>
      <c r="D49" s="29">
        <v>0.02</v>
      </c>
      <c r="E49" s="29">
        <v>0.02</v>
      </c>
      <c r="F49" s="29">
        <v>1.9E-2</v>
      </c>
      <c r="G49" s="29">
        <v>1.9E-2</v>
      </c>
    </row>
    <row r="50" spans="1:7" x14ac:dyDescent="0.2">
      <c r="A50" s="11"/>
      <c r="B50" s="11"/>
      <c r="C50" s="11"/>
      <c r="D50" s="11"/>
      <c r="E50" s="11"/>
      <c r="F50" s="11"/>
      <c r="G50" s="11"/>
    </row>
    <row r="51" spans="1:7" x14ac:dyDescent="0.2">
      <c r="A51" s="11" t="s">
        <v>220</v>
      </c>
      <c r="B51" s="19">
        <v>4.2140000000000004</v>
      </c>
      <c r="C51" s="19">
        <v>4.3179999999999996</v>
      </c>
      <c r="D51" s="19">
        <v>4.3250000000000002</v>
      </c>
      <c r="E51" s="19">
        <v>6.1669999999999998</v>
      </c>
      <c r="F51" s="19">
        <v>6.1849999999999996</v>
      </c>
      <c r="G51" s="19">
        <v>6.1989999999999998</v>
      </c>
    </row>
    <row r="52" spans="1:7" x14ac:dyDescent="0.2">
      <c r="A52" s="11" t="s">
        <v>221</v>
      </c>
      <c r="B52" s="19">
        <v>6117.2539999999999</v>
      </c>
      <c r="C52" s="19">
        <v>5765.2330000000002</v>
      </c>
      <c r="D52" s="19">
        <v>5766.5110000000004</v>
      </c>
      <c r="E52" s="19">
        <v>9591.8709999999992</v>
      </c>
      <c r="F52" s="19">
        <v>9618.2710000000006</v>
      </c>
      <c r="G52" s="19">
        <v>9638.4940000000006</v>
      </c>
    </row>
    <row r="53" spans="1:7" x14ac:dyDescent="0.2">
      <c r="A53" s="11" t="s">
        <v>222</v>
      </c>
      <c r="B53" s="19" t="s">
        <v>30</v>
      </c>
      <c r="C53" s="19" t="s">
        <v>30</v>
      </c>
      <c r="D53" s="19" t="s">
        <v>30</v>
      </c>
      <c r="E53" s="19">
        <v>299.11500000000001</v>
      </c>
      <c r="F53" s="19" t="s">
        <v>30</v>
      </c>
      <c r="G53" s="19" t="s">
        <v>30</v>
      </c>
    </row>
    <row r="54" spans="1:7" x14ac:dyDescent="0.2">
      <c r="A54" s="11" t="s">
        <v>223</v>
      </c>
      <c r="B54" s="19">
        <v>-787.7</v>
      </c>
      <c r="C54" s="19">
        <v>-904.7</v>
      </c>
      <c r="D54" s="19">
        <v>-162.80000000000001</v>
      </c>
      <c r="E54" s="19" t="s">
        <v>30</v>
      </c>
      <c r="F54" s="19">
        <v>-119.5</v>
      </c>
      <c r="G54" s="19">
        <v>-122.6</v>
      </c>
    </row>
    <row r="55" spans="1:7" x14ac:dyDescent="0.2">
      <c r="A55" s="11" t="s">
        <v>224</v>
      </c>
      <c r="B55" s="19" t="s">
        <v>30</v>
      </c>
      <c r="C55" s="19" t="s">
        <v>30</v>
      </c>
      <c r="D55" s="19" t="s">
        <v>30</v>
      </c>
      <c r="E55" s="19" t="s">
        <v>30</v>
      </c>
      <c r="F55" s="19" t="s">
        <v>30</v>
      </c>
      <c r="G55" s="19" t="s">
        <v>30</v>
      </c>
    </row>
    <row r="56" spans="1:7" x14ac:dyDescent="0.2">
      <c r="A56" s="11" t="s">
        <v>225</v>
      </c>
      <c r="B56" s="19" t="s">
        <v>30</v>
      </c>
      <c r="C56" s="19" t="s">
        <v>30</v>
      </c>
      <c r="D56" s="19" t="s">
        <v>30</v>
      </c>
      <c r="E56" s="19">
        <v>2.2160000000000002</v>
      </c>
      <c r="F56" s="19">
        <v>10.581</v>
      </c>
      <c r="G56" s="19">
        <v>3.3290000000000002</v>
      </c>
    </row>
    <row r="57" spans="1:7" x14ac:dyDescent="0.2">
      <c r="A57" s="9" t="s">
        <v>226</v>
      </c>
      <c r="B57" s="29">
        <v>5333.7610000000004</v>
      </c>
      <c r="C57" s="29">
        <v>4864.8720000000003</v>
      </c>
      <c r="D57" s="29">
        <v>5608.0240000000003</v>
      </c>
      <c r="E57" s="29">
        <v>9899.3690000000006</v>
      </c>
      <c r="F57" s="29">
        <v>9515.4889999999996</v>
      </c>
      <c r="G57" s="29">
        <v>9525.4459999999999</v>
      </c>
    </row>
    <row r="58" spans="1:7" x14ac:dyDescent="0.2">
      <c r="A58" s="11"/>
      <c r="B58" s="11"/>
      <c r="C58" s="11"/>
      <c r="D58" s="11"/>
      <c r="E58" s="11"/>
      <c r="F58" s="11"/>
      <c r="G58" s="11"/>
    </row>
    <row r="59" spans="1:7" x14ac:dyDescent="0.2">
      <c r="A59" s="11" t="s">
        <v>227</v>
      </c>
      <c r="B59" s="19">
        <v>100.931</v>
      </c>
      <c r="C59" s="19">
        <v>81.957999999999998</v>
      </c>
      <c r="D59" s="19">
        <v>77.994</v>
      </c>
      <c r="E59" s="19">
        <v>224.273</v>
      </c>
      <c r="F59" s="19">
        <v>224.334</v>
      </c>
      <c r="G59" s="19">
        <v>200.27</v>
      </c>
    </row>
    <row r="60" spans="1:7" x14ac:dyDescent="0.2">
      <c r="A60" s="11"/>
      <c r="B60" s="11"/>
      <c r="C60" s="11"/>
      <c r="D60" s="11"/>
      <c r="E60" s="11"/>
      <c r="F60" s="11"/>
      <c r="G60" s="11"/>
    </row>
    <row r="61" spans="1:7" x14ac:dyDescent="0.2">
      <c r="A61" s="9" t="s">
        <v>228</v>
      </c>
      <c r="B61" s="38">
        <v>5434.7349999999997</v>
      </c>
      <c r="C61" s="38">
        <v>4946.8500000000004</v>
      </c>
      <c r="D61" s="38">
        <v>5686.0379999999996</v>
      </c>
      <c r="E61" s="38">
        <v>10123.662</v>
      </c>
      <c r="F61" s="38">
        <v>9739.8420000000006</v>
      </c>
      <c r="G61" s="38">
        <v>9725.7350000000006</v>
      </c>
    </row>
    <row r="62" spans="1:7" x14ac:dyDescent="0.2">
      <c r="A62" s="11"/>
      <c r="B62" s="11"/>
      <c r="C62" s="11"/>
      <c r="D62" s="11"/>
      <c r="E62" s="11"/>
      <c r="F62" s="11"/>
      <c r="G62" s="11"/>
    </row>
    <row r="63" spans="1:7" x14ac:dyDescent="0.2">
      <c r="A63" s="9" t="s">
        <v>229</v>
      </c>
      <c r="B63" s="39">
        <v>10999.1</v>
      </c>
      <c r="C63" s="39">
        <v>10997.867</v>
      </c>
      <c r="D63" s="39">
        <v>11614.498</v>
      </c>
      <c r="E63" s="39">
        <v>18459.199000000001</v>
      </c>
      <c r="F63" s="39">
        <v>17826.121999999999</v>
      </c>
      <c r="G63" s="39">
        <v>18274.022000000001</v>
      </c>
    </row>
    <row r="64" spans="1:7" x14ac:dyDescent="0.2">
      <c r="A64" s="11"/>
      <c r="B64" s="11"/>
      <c r="C64" s="11"/>
      <c r="D64" s="11"/>
      <c r="E64" s="11"/>
      <c r="F64" s="11"/>
      <c r="G64" s="11"/>
    </row>
    <row r="65" spans="1:7" x14ac:dyDescent="0.2">
      <c r="A65" s="9" t="s">
        <v>148</v>
      </c>
      <c r="B65" s="11"/>
      <c r="C65" s="11"/>
      <c r="D65" s="11"/>
      <c r="E65" s="11"/>
      <c r="F65" s="11"/>
      <c r="G65" s="11"/>
    </row>
    <row r="66" spans="1:7" x14ac:dyDescent="0.2">
      <c r="A66" s="11" t="s">
        <v>230</v>
      </c>
      <c r="B66" s="19">
        <v>421.38597199999998</v>
      </c>
      <c r="C66" s="19">
        <v>431.82095099999998</v>
      </c>
      <c r="D66" s="19">
        <v>432.43982</v>
      </c>
      <c r="E66" s="19">
        <v>616.71906100000001</v>
      </c>
      <c r="F66" s="19">
        <v>618.60934699999996</v>
      </c>
      <c r="G66" s="19">
        <v>672.90448000000004</v>
      </c>
    </row>
    <row r="67" spans="1:7" x14ac:dyDescent="0.2">
      <c r="A67" s="11" t="s">
        <v>231</v>
      </c>
      <c r="B67" s="19">
        <v>421.38887899999997</v>
      </c>
      <c r="C67" s="19">
        <v>431.81495100000001</v>
      </c>
      <c r="D67" s="19">
        <v>432.51874299999997</v>
      </c>
      <c r="E67" s="19">
        <v>616.658593</v>
      </c>
      <c r="F67" s="19">
        <v>618.483565</v>
      </c>
      <c r="G67" s="19">
        <v>619.87123699999995</v>
      </c>
    </row>
    <row r="68" spans="1:7" x14ac:dyDescent="0.2">
      <c r="A68" s="11" t="s">
        <v>232</v>
      </c>
      <c r="B68" s="22">
        <v>12.66</v>
      </c>
      <c r="C68" s="22">
        <v>11.27</v>
      </c>
      <c r="D68" s="22">
        <v>12.97</v>
      </c>
      <c r="E68" s="22">
        <v>16.05</v>
      </c>
      <c r="F68" s="22">
        <v>15.39</v>
      </c>
      <c r="G68" s="22">
        <v>15.37</v>
      </c>
    </row>
    <row r="69" spans="1:7" x14ac:dyDescent="0.2">
      <c r="A69" s="11" t="s">
        <v>233</v>
      </c>
      <c r="B69" s="19">
        <v>5149.8890000000001</v>
      </c>
      <c r="C69" s="19">
        <v>4719.4080000000004</v>
      </c>
      <c r="D69" s="19">
        <v>5489.0720000000001</v>
      </c>
      <c r="E69" s="19">
        <v>9442.9740000000002</v>
      </c>
      <c r="F69" s="19">
        <v>9158.8040000000001</v>
      </c>
      <c r="G69" s="19">
        <v>9223.6869999999999</v>
      </c>
    </row>
    <row r="70" spans="1:7" x14ac:dyDescent="0.2">
      <c r="A70" s="11" t="s">
        <v>234</v>
      </c>
      <c r="B70" s="22">
        <v>12.22</v>
      </c>
      <c r="C70" s="22">
        <v>10.93</v>
      </c>
      <c r="D70" s="22">
        <v>12.69</v>
      </c>
      <c r="E70" s="22">
        <v>15.31</v>
      </c>
      <c r="F70" s="22">
        <v>14.81</v>
      </c>
      <c r="G70" s="22">
        <v>14.88</v>
      </c>
    </row>
    <row r="71" spans="1:7" x14ac:dyDescent="0.2">
      <c r="A71" s="11" t="s">
        <v>235</v>
      </c>
      <c r="B71" s="19">
        <v>4873.8720000000003</v>
      </c>
      <c r="C71" s="19">
        <v>5408.4780000000001</v>
      </c>
      <c r="D71" s="19">
        <v>5452.0990000000002</v>
      </c>
      <c r="E71" s="19">
        <v>7599.4809999999998</v>
      </c>
      <c r="F71" s="19">
        <v>7271.5649999999996</v>
      </c>
      <c r="G71" s="19">
        <v>7751.2129999999997</v>
      </c>
    </row>
    <row r="72" spans="1:7" x14ac:dyDescent="0.2">
      <c r="A72" s="11" t="s">
        <v>236</v>
      </c>
      <c r="B72" s="19">
        <v>4730.2910000000002</v>
      </c>
      <c r="C72" s="19">
        <v>5284.5309999999999</v>
      </c>
      <c r="D72" s="19">
        <v>5158.9110000000001</v>
      </c>
      <c r="E72" s="19">
        <v>7264.8180000000002</v>
      </c>
      <c r="F72" s="19">
        <v>7121.7359999999999</v>
      </c>
      <c r="G72" s="19">
        <v>6967.4560000000001</v>
      </c>
    </row>
    <row r="73" spans="1:7" x14ac:dyDescent="0.2">
      <c r="A73" s="11" t="s">
        <v>237</v>
      </c>
      <c r="B73" s="19" t="s">
        <v>36</v>
      </c>
      <c r="C73" s="19" t="s">
        <v>36</v>
      </c>
      <c r="D73" s="19" t="s">
        <v>36</v>
      </c>
      <c r="E73" s="19">
        <v>-6.7</v>
      </c>
      <c r="F73" s="19">
        <v>-14.4</v>
      </c>
      <c r="G73" s="19" t="s">
        <v>36</v>
      </c>
    </row>
    <row r="74" spans="1:7" x14ac:dyDescent="0.2">
      <c r="A74" s="11" t="s">
        <v>238</v>
      </c>
      <c r="B74" s="19">
        <v>87.432000000000002</v>
      </c>
      <c r="C74" s="19">
        <v>117.34399999999999</v>
      </c>
      <c r="D74" s="19">
        <v>105.78400000000001</v>
      </c>
      <c r="E74" s="19">
        <v>124.872</v>
      </c>
      <c r="F74" s="19">
        <v>137.096</v>
      </c>
      <c r="G74" s="19">
        <v>135.816</v>
      </c>
    </row>
    <row r="75" spans="1:7" x14ac:dyDescent="0.2">
      <c r="A75" s="11" t="s">
        <v>239</v>
      </c>
      <c r="B75" s="19">
        <v>100.931</v>
      </c>
      <c r="C75" s="19">
        <v>81.957999999999998</v>
      </c>
      <c r="D75" s="19">
        <v>77.994</v>
      </c>
      <c r="E75" s="19">
        <v>224.273</v>
      </c>
      <c r="F75" s="19">
        <v>224.334</v>
      </c>
      <c r="G75" s="19">
        <v>200.27</v>
      </c>
    </row>
    <row r="76" spans="1:7" x14ac:dyDescent="0.2">
      <c r="A76" s="11" t="s">
        <v>240</v>
      </c>
      <c r="B76" s="19">
        <v>570.92200000000003</v>
      </c>
      <c r="C76" s="19">
        <v>578.11800000000005</v>
      </c>
      <c r="D76" s="19">
        <v>590.69399999999996</v>
      </c>
      <c r="E76" s="19">
        <v>1006.899</v>
      </c>
      <c r="F76" s="19">
        <v>1091.5509999999999</v>
      </c>
      <c r="G76" s="19">
        <v>1087.8040000000001</v>
      </c>
    </row>
    <row r="77" spans="1:7" x14ac:dyDescent="0.2">
      <c r="A77" s="11" t="s">
        <v>241</v>
      </c>
      <c r="B77" s="18" t="s">
        <v>36</v>
      </c>
      <c r="C77" s="18" t="s">
        <v>36</v>
      </c>
      <c r="D77" s="18" t="s">
        <v>36</v>
      </c>
      <c r="E77" s="18" t="s">
        <v>36</v>
      </c>
      <c r="F77" s="18" t="s">
        <v>36</v>
      </c>
      <c r="G77" s="18" t="s">
        <v>36</v>
      </c>
    </row>
    <row r="78" spans="1:7" x14ac:dyDescent="0.2">
      <c r="A78" s="11" t="s">
        <v>242</v>
      </c>
      <c r="B78" s="19">
        <v>2783.9589999999998</v>
      </c>
      <c r="C78" s="19">
        <v>2759.232</v>
      </c>
      <c r="D78" s="19">
        <v>2758.9360000000001</v>
      </c>
      <c r="E78" s="19">
        <v>3962.4470000000001</v>
      </c>
      <c r="F78" s="19">
        <v>4102.5420000000004</v>
      </c>
      <c r="G78" s="19">
        <v>4166.4750000000004</v>
      </c>
    </row>
    <row r="79" spans="1:7" x14ac:dyDescent="0.2">
      <c r="A79" s="11" t="s">
        <v>243</v>
      </c>
      <c r="B79" s="19">
        <v>7393.7089999999998</v>
      </c>
      <c r="C79" s="19">
        <v>7501.8860000000004</v>
      </c>
      <c r="D79" s="19">
        <v>7830.2430000000004</v>
      </c>
      <c r="E79" s="19">
        <v>12041.544</v>
      </c>
      <c r="F79" s="19">
        <v>12239.025</v>
      </c>
      <c r="G79" s="19">
        <v>12525.249</v>
      </c>
    </row>
    <row r="80" spans="1:7" x14ac:dyDescent="0.2">
      <c r="A80" s="11" t="s">
        <v>244</v>
      </c>
      <c r="B80" s="19">
        <v>42.634999999999998</v>
      </c>
      <c r="C80" s="19">
        <v>31.562999999999999</v>
      </c>
      <c r="D80" s="19">
        <v>32.122999999999998</v>
      </c>
      <c r="E80" s="19">
        <v>31.420999999999999</v>
      </c>
      <c r="F80" s="19">
        <v>36.627000000000002</v>
      </c>
      <c r="G80" s="19">
        <v>41.055</v>
      </c>
    </row>
    <row r="81" spans="1:7" x14ac:dyDescent="0.2">
      <c r="A81" s="11" t="s">
        <v>245</v>
      </c>
      <c r="B81" s="19">
        <v>241.38399999999999</v>
      </c>
      <c r="C81" s="19">
        <v>220.17</v>
      </c>
      <c r="D81" s="19">
        <v>5.6719999999999997</v>
      </c>
      <c r="E81" s="19" t="s">
        <v>30</v>
      </c>
      <c r="F81" s="19" t="s">
        <v>30</v>
      </c>
      <c r="G81" s="19" t="s">
        <v>30</v>
      </c>
    </row>
    <row r="82" spans="1:7" x14ac:dyDescent="0.2">
      <c r="A82" s="11" t="s">
        <v>246</v>
      </c>
      <c r="B82" s="19">
        <v>730.62300000000005</v>
      </c>
      <c r="C82" s="19">
        <v>771.49800000000005</v>
      </c>
      <c r="D82" s="19">
        <v>820.02700000000004</v>
      </c>
      <c r="E82" s="19">
        <v>987.21600000000001</v>
      </c>
      <c r="F82" s="19">
        <v>1046.9690000000001</v>
      </c>
      <c r="G82" s="19">
        <v>1158.9190000000001</v>
      </c>
    </row>
    <row r="83" spans="1:7" x14ac:dyDescent="0.2">
      <c r="A83" s="11" t="s">
        <v>247</v>
      </c>
      <c r="B83" s="40">
        <v>533</v>
      </c>
      <c r="C83" s="40">
        <v>502</v>
      </c>
      <c r="D83" s="40">
        <v>484</v>
      </c>
      <c r="E83" s="40">
        <v>606</v>
      </c>
      <c r="F83" s="40">
        <v>639</v>
      </c>
      <c r="G83" s="40">
        <v>660</v>
      </c>
    </row>
    <row r="84" spans="1:7" x14ac:dyDescent="0.2">
      <c r="A84" s="11" t="s">
        <v>248</v>
      </c>
      <c r="B84" s="19">
        <v>20.437999999999999</v>
      </c>
      <c r="C84" s="19" t="s">
        <v>36</v>
      </c>
      <c r="D84" s="19">
        <v>22.376999999999999</v>
      </c>
      <c r="E84" s="19">
        <v>8.3390000000000004</v>
      </c>
      <c r="F84" s="19">
        <v>6.9820000000000002</v>
      </c>
      <c r="G84" s="19">
        <v>4.5279999999999996</v>
      </c>
    </row>
    <row r="85" spans="1:7" x14ac:dyDescent="0.2">
      <c r="A85" s="11" t="s">
        <v>157</v>
      </c>
      <c r="B85" s="34">
        <v>44250</v>
      </c>
      <c r="C85" s="34">
        <v>44621</v>
      </c>
      <c r="D85" s="34">
        <v>44981</v>
      </c>
      <c r="E85" s="34">
        <v>45348</v>
      </c>
      <c r="F85" s="34">
        <v>45348</v>
      </c>
      <c r="G85" s="34">
        <v>45348</v>
      </c>
    </row>
    <row r="86" spans="1:7" x14ac:dyDescent="0.2">
      <c r="A86" s="11" t="s">
        <v>158</v>
      </c>
      <c r="B86" s="18" t="s">
        <v>160</v>
      </c>
      <c r="C86" s="18" t="s">
        <v>159</v>
      </c>
      <c r="D86" s="18" t="s">
        <v>159</v>
      </c>
      <c r="E86" s="18" t="s">
        <v>249</v>
      </c>
      <c r="F86" s="18" t="s">
        <v>249</v>
      </c>
      <c r="G86" s="18" t="s">
        <v>161</v>
      </c>
    </row>
    <row r="87" spans="1:7" x14ac:dyDescent="0.2">
      <c r="A87" s="11" t="s">
        <v>162</v>
      </c>
      <c r="B87" s="18" t="s">
        <v>250</v>
      </c>
      <c r="C87" s="18" t="s">
        <v>250</v>
      </c>
      <c r="D87" s="18" t="s">
        <v>250</v>
      </c>
      <c r="E87" s="18" t="s">
        <v>250</v>
      </c>
      <c r="F87" s="18" t="s">
        <v>163</v>
      </c>
      <c r="G87" s="18" t="s">
        <v>163</v>
      </c>
    </row>
    <row r="88" spans="1:7" x14ac:dyDescent="0.2">
      <c r="A88" s="11"/>
      <c r="B88" s="11"/>
      <c r="C88" s="11"/>
      <c r="D88" s="11"/>
      <c r="E88" s="11"/>
      <c r="F88" s="11"/>
      <c r="G88" s="11"/>
    </row>
    <row r="89" spans="1:7" x14ac:dyDescent="0.2">
      <c r="A89" s="12"/>
      <c r="B89" s="12"/>
      <c r="C89" s="12"/>
      <c r="D89" s="12"/>
      <c r="E89" s="12"/>
      <c r="F89" s="12"/>
      <c r="G89" s="12"/>
    </row>
    <row r="90" spans="1:7" x14ac:dyDescent="0.2">
      <c r="A90" s="35" t="s">
        <v>251</v>
      </c>
    </row>
    <row r="91" spans="1:7" x14ac:dyDescent="0.2">
      <c r="A91" s="26" t="s">
        <v>76</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77"/>
  <sheetViews>
    <sheetView workbookViewId="0"/>
    <sheetView workbookViewId="1"/>
    <sheetView workbookViewId="2"/>
  </sheetViews>
  <sheetFormatPr defaultRowHeight="10.199999999999999" x14ac:dyDescent="0.2"/>
  <cols>
    <col min="1" max="1" width="45.77734375" customWidth="1"/>
    <col min="2" max="7" width="14.77734375" customWidth="1"/>
  </cols>
  <sheetData>
    <row r="5" spans="1:255" ht="16.2" x14ac:dyDescent="0.25">
      <c r="A5" s="1" t="s">
        <v>252</v>
      </c>
    </row>
    <row r="7" spans="1:255" x14ac:dyDescent="0.2">
      <c r="A7" s="2" t="s">
        <v>253</v>
      </c>
      <c r="B7" s="3" t="s">
        <v>254</v>
      </c>
      <c r="C7" t="s">
        <v>80</v>
      </c>
      <c r="D7" s="4" t="s">
        <v>4</v>
      </c>
      <c r="E7" s="3" t="s">
        <v>255</v>
      </c>
      <c r="F7" t="s">
        <v>82</v>
      </c>
    </row>
    <row r="8" spans="1:255" x14ac:dyDescent="0.2">
      <c r="A8" s="4"/>
      <c r="B8" s="3" t="s">
        <v>256</v>
      </c>
      <c r="C8" t="s">
        <v>84</v>
      </c>
      <c r="D8" s="4" t="s">
        <v>4</v>
      </c>
      <c r="E8" s="3" t="s">
        <v>257</v>
      </c>
      <c r="F8" t="s">
        <v>8</v>
      </c>
    </row>
    <row r="9" spans="1:255" x14ac:dyDescent="0.2">
      <c r="A9" s="4"/>
      <c r="B9" s="3" t="s">
        <v>258</v>
      </c>
      <c r="C9" t="s">
        <v>87</v>
      </c>
      <c r="D9" s="4" t="s">
        <v>4</v>
      </c>
      <c r="E9" s="3" t="s">
        <v>259</v>
      </c>
      <c r="F9" t="s">
        <v>6</v>
      </c>
    </row>
    <row r="10" spans="1:255" x14ac:dyDescent="0.2">
      <c r="A10" s="4"/>
      <c r="B10" s="3" t="s">
        <v>260</v>
      </c>
      <c r="C10" t="s">
        <v>10</v>
      </c>
      <c r="D10" s="4" t="s">
        <v>4</v>
      </c>
      <c r="E10" s="3" t="s">
        <v>261</v>
      </c>
      <c r="F10" s="5" t="s">
        <v>12</v>
      </c>
    </row>
    <row r="11" spans="1:255" x14ac:dyDescent="0.2">
      <c r="A11" s="4"/>
      <c r="B11" s="3" t="s">
        <v>262</v>
      </c>
      <c r="C11" t="s">
        <v>92</v>
      </c>
      <c r="D11" s="4" t="s">
        <v>4</v>
      </c>
      <c r="E11" s="27"/>
      <c r="F11" s="27"/>
    </row>
    <row r="14" spans="1:255" x14ac:dyDescent="0.2">
      <c r="A14" s="6" t="s">
        <v>263</v>
      </c>
      <c r="B14" s="6"/>
      <c r="C14" s="6"/>
      <c r="D14" s="6"/>
      <c r="E14" s="6"/>
      <c r="F14" s="6"/>
      <c r="G14" s="6"/>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75"/>
      <c r="CZ14" s="75"/>
      <c r="DA14" s="75"/>
      <c r="DB14" s="75"/>
      <c r="DC14" s="75"/>
      <c r="DD14" s="75"/>
      <c r="DE14" s="75"/>
      <c r="DF14" s="75"/>
      <c r="DG14" s="75"/>
      <c r="DH14" s="75"/>
      <c r="DI14" s="75"/>
      <c r="DJ14" s="75"/>
      <c r="DK14" s="75"/>
      <c r="DL14" s="75"/>
      <c r="DM14" s="75"/>
      <c r="DN14" s="75"/>
      <c r="DO14" s="75"/>
      <c r="DP14" s="75"/>
      <c r="DQ14" s="75"/>
      <c r="DR14" s="75"/>
      <c r="DS14" s="75"/>
      <c r="DT14" s="75"/>
      <c r="DU14" s="75"/>
      <c r="DV14" s="75"/>
      <c r="DW14" s="75"/>
      <c r="DX14" s="75"/>
      <c r="DY14" s="75"/>
      <c r="DZ14" s="75"/>
      <c r="EA14" s="75"/>
      <c r="EB14" s="75"/>
      <c r="EC14" s="75"/>
      <c r="ED14" s="75"/>
      <c r="EE14" s="75"/>
      <c r="EF14" s="75"/>
      <c r="EG14" s="75"/>
      <c r="EH14" s="75"/>
      <c r="EI14" s="75"/>
      <c r="EJ14" s="75"/>
      <c r="EK14" s="75"/>
      <c r="EL14" s="75"/>
      <c r="EM14" s="75"/>
      <c r="EN14" s="75"/>
      <c r="EO14" s="75"/>
      <c r="EP14" s="75"/>
      <c r="EQ14" s="75"/>
      <c r="ER14" s="75"/>
      <c r="ES14" s="75"/>
      <c r="ET14" s="75"/>
      <c r="EU14" s="75"/>
      <c r="EV14" s="75"/>
      <c r="EW14" s="75"/>
      <c r="EX14" s="75"/>
      <c r="EY14" s="75"/>
      <c r="EZ14" s="75"/>
      <c r="FA14" s="75"/>
      <c r="FB14" s="75"/>
      <c r="FC14" s="75"/>
      <c r="FD14" s="75"/>
      <c r="FE14" s="75"/>
      <c r="FF14" s="75"/>
      <c r="FG14" s="75"/>
      <c r="FH14" s="75"/>
      <c r="FI14" s="75"/>
      <c r="FJ14" s="75"/>
      <c r="FK14" s="75"/>
      <c r="FL14" s="75"/>
      <c r="FM14" s="75"/>
      <c r="FN14" s="75"/>
      <c r="FO14" s="75"/>
      <c r="FP14" s="75"/>
      <c r="FQ14" s="75"/>
      <c r="FR14" s="75"/>
      <c r="FS14" s="75"/>
      <c r="FT14" s="75"/>
      <c r="FU14" s="75"/>
      <c r="FV14" s="75"/>
      <c r="FW14" s="75"/>
      <c r="FX14" s="75"/>
      <c r="FY14" s="75"/>
      <c r="FZ14" s="75"/>
      <c r="GA14" s="75"/>
      <c r="GB14" s="75"/>
      <c r="GC14" s="75"/>
      <c r="GD14" s="75"/>
      <c r="GE14" s="75"/>
      <c r="GF14" s="75"/>
      <c r="GG14" s="75"/>
      <c r="GH14" s="75"/>
      <c r="GI14" s="75"/>
      <c r="GJ14" s="75"/>
      <c r="GK14" s="75"/>
      <c r="GL14" s="75"/>
      <c r="GM14" s="75"/>
      <c r="GN14" s="75"/>
      <c r="GO14" s="75"/>
      <c r="GP14" s="75"/>
      <c r="GQ14" s="75"/>
      <c r="GR14" s="75"/>
      <c r="GS14" s="75"/>
      <c r="GT14" s="75"/>
      <c r="GU14" s="75"/>
      <c r="GV14" s="75"/>
      <c r="GW14" s="75"/>
      <c r="GX14" s="75"/>
      <c r="GY14" s="75"/>
      <c r="GZ14" s="75"/>
      <c r="HA14" s="75"/>
      <c r="HB14" s="75"/>
      <c r="HC14" s="75"/>
      <c r="HD14" s="75"/>
      <c r="HE14" s="75"/>
      <c r="HF14" s="75"/>
      <c r="HG14" s="75"/>
      <c r="HH14" s="75"/>
      <c r="HI14" s="75"/>
      <c r="HJ14" s="75"/>
      <c r="HK14" s="75"/>
      <c r="HL14" s="75"/>
      <c r="HM14" s="75"/>
      <c r="HN14" s="75"/>
      <c r="HO14" s="75"/>
      <c r="HP14" s="75"/>
      <c r="HQ14" s="75"/>
      <c r="HR14" s="75"/>
      <c r="HS14" s="75"/>
      <c r="HT14" s="75"/>
      <c r="HU14" s="75"/>
      <c r="HV14" s="75"/>
      <c r="HW14" s="75"/>
      <c r="HX14" s="75"/>
      <c r="HY14" s="75"/>
      <c r="HZ14" s="75"/>
      <c r="IA14" s="75"/>
      <c r="IB14" s="75"/>
      <c r="IC14" s="75"/>
      <c r="ID14" s="75"/>
      <c r="IE14" s="75"/>
      <c r="IF14" s="75"/>
      <c r="IG14" s="75"/>
      <c r="IH14" s="75"/>
      <c r="II14" s="75"/>
      <c r="IJ14" s="75"/>
      <c r="IK14" s="75"/>
      <c r="IL14" s="75"/>
      <c r="IM14" s="75"/>
      <c r="IN14" s="75"/>
      <c r="IO14" s="75"/>
      <c r="IP14" s="75"/>
      <c r="IQ14" s="75"/>
      <c r="IR14" s="75"/>
      <c r="IS14" s="75"/>
      <c r="IT14" s="75"/>
      <c r="IU14" s="75"/>
    </row>
    <row r="15" spans="1:255" ht="20.399999999999999" x14ac:dyDescent="0.2">
      <c r="A15" s="7" t="s">
        <v>16</v>
      </c>
      <c r="B15" s="13" t="s">
        <v>264</v>
      </c>
      <c r="C15" s="13" t="s">
        <v>265</v>
      </c>
      <c r="D15" s="13" t="s">
        <v>96</v>
      </c>
      <c r="E15" s="13" t="s">
        <v>266</v>
      </c>
      <c r="F15" s="13" t="s">
        <v>98</v>
      </c>
      <c r="G15" s="13" t="s">
        <v>99</v>
      </c>
    </row>
    <row r="16" spans="1:255" x14ac:dyDescent="0.2">
      <c r="A16" s="8" t="s">
        <v>25</v>
      </c>
      <c r="B16" s="14" t="s">
        <v>26</v>
      </c>
      <c r="C16" s="14" t="s">
        <v>26</v>
      </c>
      <c r="D16" s="14" t="s">
        <v>26</v>
      </c>
      <c r="E16" s="14" t="s">
        <v>26</v>
      </c>
      <c r="F16" s="14" t="s">
        <v>26</v>
      </c>
      <c r="G16" s="14" t="s">
        <v>26</v>
      </c>
    </row>
    <row r="17" spans="1:7" x14ac:dyDescent="0.2">
      <c r="A17" s="9" t="s">
        <v>39</v>
      </c>
      <c r="B17" s="11"/>
      <c r="C17" s="11"/>
      <c r="D17" s="11"/>
      <c r="E17" s="11"/>
      <c r="F17" s="11"/>
      <c r="G17" s="11"/>
    </row>
    <row r="18" spans="1:7" x14ac:dyDescent="0.2">
      <c r="A18" s="9" t="s">
        <v>37</v>
      </c>
      <c r="B18" s="15">
        <v>497.79500000000002</v>
      </c>
      <c r="C18" s="15">
        <v>410.60500000000002</v>
      </c>
      <c r="D18" s="15">
        <v>1000.833</v>
      </c>
      <c r="E18" s="15">
        <v>844.05899999999997</v>
      </c>
      <c r="F18" s="15">
        <v>125.976</v>
      </c>
      <c r="G18" s="15">
        <v>654.27300000000002</v>
      </c>
    </row>
    <row r="19" spans="1:7" x14ac:dyDescent="0.2">
      <c r="A19" s="11" t="s">
        <v>107</v>
      </c>
      <c r="B19" s="19">
        <v>257.68</v>
      </c>
      <c r="C19" s="19">
        <v>243.07900000000001</v>
      </c>
      <c r="D19" s="19">
        <v>259.45499999999998</v>
      </c>
      <c r="E19" s="19">
        <v>312.12</v>
      </c>
      <c r="F19" s="19">
        <v>383.4</v>
      </c>
      <c r="G19" s="19">
        <v>408.065</v>
      </c>
    </row>
    <row r="20" spans="1:7" x14ac:dyDescent="0.2">
      <c r="A20" s="11" t="s">
        <v>108</v>
      </c>
      <c r="B20" s="19">
        <v>32.5</v>
      </c>
      <c r="C20" s="19">
        <v>53.1</v>
      </c>
      <c r="D20" s="19">
        <v>3.7850000000000001</v>
      </c>
      <c r="E20" s="19">
        <v>65.257000000000005</v>
      </c>
      <c r="F20" s="19">
        <v>104.509</v>
      </c>
      <c r="G20" s="19">
        <v>77.447000000000003</v>
      </c>
    </row>
    <row r="21" spans="1:7" x14ac:dyDescent="0.2">
      <c r="A21" s="9" t="s">
        <v>267</v>
      </c>
      <c r="B21" s="29">
        <v>290.18</v>
      </c>
      <c r="C21" s="29">
        <v>296.17899999999997</v>
      </c>
      <c r="D21" s="29">
        <v>263.24</v>
      </c>
      <c r="E21" s="29">
        <v>377.37700000000001</v>
      </c>
      <c r="F21" s="29">
        <v>487.90899999999999</v>
      </c>
      <c r="G21" s="29">
        <v>485.512</v>
      </c>
    </row>
    <row r="22" spans="1:7" x14ac:dyDescent="0.2">
      <c r="A22" s="11"/>
      <c r="B22" s="11"/>
      <c r="C22" s="11"/>
      <c r="D22" s="11"/>
      <c r="E22" s="11"/>
      <c r="F22" s="11"/>
      <c r="G22" s="11"/>
    </row>
    <row r="23" spans="1:7" x14ac:dyDescent="0.2">
      <c r="A23" s="11" t="s">
        <v>268</v>
      </c>
      <c r="B23" s="19">
        <v>5.3</v>
      </c>
      <c r="C23" s="19">
        <v>1.7</v>
      </c>
      <c r="D23" s="19">
        <v>3.2</v>
      </c>
      <c r="E23" s="19">
        <v>3.1</v>
      </c>
      <c r="F23" s="19">
        <v>3.5</v>
      </c>
      <c r="G23" s="19">
        <v>4.5</v>
      </c>
    </row>
    <row r="24" spans="1:7" x14ac:dyDescent="0.2">
      <c r="A24" s="11" t="s">
        <v>269</v>
      </c>
      <c r="B24" s="19">
        <v>-229.8</v>
      </c>
      <c r="C24" s="19">
        <v>-79.2</v>
      </c>
      <c r="D24" s="19">
        <v>-6.5</v>
      </c>
      <c r="E24" s="19">
        <v>-30.8</v>
      </c>
      <c r="F24" s="19">
        <v>-15.2</v>
      </c>
      <c r="G24" s="19">
        <v>-75</v>
      </c>
    </row>
    <row r="25" spans="1:7" x14ac:dyDescent="0.2">
      <c r="A25" s="11" t="s">
        <v>270</v>
      </c>
      <c r="B25" s="19">
        <v>3.4870000000000001</v>
      </c>
      <c r="C25" s="19">
        <v>-0.8</v>
      </c>
      <c r="D25" s="19">
        <v>-785.6</v>
      </c>
      <c r="E25" s="19">
        <v>-505.2</v>
      </c>
      <c r="F25" s="19">
        <v>315.50799999999998</v>
      </c>
      <c r="G25" s="19">
        <v>-21.3</v>
      </c>
    </row>
    <row r="26" spans="1:7" x14ac:dyDescent="0.2">
      <c r="A26" s="11" t="s">
        <v>271</v>
      </c>
      <c r="B26" s="19">
        <v>79.206999999999994</v>
      </c>
      <c r="C26" s="19">
        <v>48.743000000000002</v>
      </c>
      <c r="D26" s="19">
        <v>6.6239999999999997</v>
      </c>
      <c r="E26" s="19">
        <v>3.597</v>
      </c>
      <c r="F26" s="19">
        <v>21.957999999999998</v>
      </c>
      <c r="G26" s="19">
        <v>14.042999999999999</v>
      </c>
    </row>
    <row r="27" spans="1:7" x14ac:dyDescent="0.2">
      <c r="A27" s="11" t="s">
        <v>272</v>
      </c>
      <c r="B27" s="19">
        <v>3.9089999999999998</v>
      </c>
      <c r="C27" s="19">
        <v>-4.4000000000000004</v>
      </c>
      <c r="D27" s="19">
        <v>73.040999999999997</v>
      </c>
      <c r="E27" s="19">
        <v>-16.399999999999999</v>
      </c>
      <c r="F27" s="19">
        <v>-43.3</v>
      </c>
      <c r="G27" s="19">
        <v>-7.2</v>
      </c>
    </row>
    <row r="28" spans="1:7" x14ac:dyDescent="0.2">
      <c r="A28" s="11" t="s">
        <v>273</v>
      </c>
      <c r="B28" s="19">
        <v>18.221</v>
      </c>
      <c r="C28" s="19">
        <v>20.2</v>
      </c>
      <c r="D28" s="19">
        <v>23.684999999999999</v>
      </c>
      <c r="E28" s="19">
        <v>23.15</v>
      </c>
      <c r="F28" s="19">
        <v>26.638999999999999</v>
      </c>
      <c r="G28" s="19">
        <v>33.054000000000002</v>
      </c>
    </row>
    <row r="29" spans="1:7" x14ac:dyDescent="0.2">
      <c r="A29" s="11" t="s">
        <v>274</v>
      </c>
      <c r="B29" s="19">
        <v>5.2290000000000001</v>
      </c>
      <c r="C29" s="19">
        <v>-34.200000000000003</v>
      </c>
      <c r="D29" s="19">
        <v>-6.5</v>
      </c>
      <c r="E29" s="19">
        <v>4.548</v>
      </c>
      <c r="F29" s="19">
        <v>-9.1</v>
      </c>
      <c r="G29" s="19">
        <v>18.452999999999999</v>
      </c>
    </row>
    <row r="30" spans="1:7" x14ac:dyDescent="0.2">
      <c r="A30" s="11" t="s">
        <v>275</v>
      </c>
      <c r="B30" s="19">
        <v>-9.1999999999999993</v>
      </c>
      <c r="C30" s="19">
        <v>-3.6</v>
      </c>
      <c r="D30" s="19">
        <v>5.5759999999999996</v>
      </c>
      <c r="E30" s="19">
        <v>-104.7</v>
      </c>
      <c r="F30" s="19">
        <v>37.655000000000001</v>
      </c>
      <c r="G30" s="19">
        <v>5.8259999999999996</v>
      </c>
    </row>
    <row r="31" spans="1:7" x14ac:dyDescent="0.2">
      <c r="A31" s="11" t="s">
        <v>276</v>
      </c>
      <c r="B31" s="19">
        <v>-54.7</v>
      </c>
      <c r="C31" s="19">
        <v>-54.6</v>
      </c>
      <c r="D31" s="19">
        <v>-9.6</v>
      </c>
      <c r="E31" s="19">
        <v>46.637999999999998</v>
      </c>
      <c r="F31" s="19">
        <v>-24.2</v>
      </c>
      <c r="G31" s="19">
        <v>-19.899999999999999</v>
      </c>
    </row>
    <row r="32" spans="1:7" x14ac:dyDescent="0.2">
      <c r="A32" s="11" t="s">
        <v>277</v>
      </c>
      <c r="B32" s="19">
        <v>28.33</v>
      </c>
      <c r="C32" s="19">
        <v>-17</v>
      </c>
      <c r="D32" s="19">
        <v>21.808</v>
      </c>
      <c r="E32" s="19">
        <v>-26.4</v>
      </c>
      <c r="F32" s="19">
        <v>-66.2</v>
      </c>
      <c r="G32" s="19">
        <v>-20.8</v>
      </c>
    </row>
    <row r="33" spans="1:7" x14ac:dyDescent="0.2">
      <c r="A33" s="9" t="s">
        <v>278</v>
      </c>
      <c r="B33" s="29">
        <v>637.93600000000004</v>
      </c>
      <c r="C33" s="29">
        <v>583.62800000000004</v>
      </c>
      <c r="D33" s="29">
        <v>589.91300000000001</v>
      </c>
      <c r="E33" s="29">
        <v>618.875</v>
      </c>
      <c r="F33" s="29">
        <v>861.11400000000003</v>
      </c>
      <c r="G33" s="29">
        <v>1071.607</v>
      </c>
    </row>
    <row r="34" spans="1:7" x14ac:dyDescent="0.2">
      <c r="A34" s="11"/>
      <c r="B34" s="11"/>
      <c r="C34" s="11"/>
      <c r="D34" s="11"/>
      <c r="E34" s="11"/>
      <c r="F34" s="11"/>
      <c r="G34" s="11"/>
    </row>
    <row r="35" spans="1:7" x14ac:dyDescent="0.2">
      <c r="A35" s="11" t="s">
        <v>279</v>
      </c>
      <c r="B35" s="19">
        <v>-536.9</v>
      </c>
      <c r="C35" s="19">
        <v>-445.6</v>
      </c>
      <c r="D35" s="19">
        <v>-256.3</v>
      </c>
      <c r="E35" s="19">
        <v>-519.70000000000005</v>
      </c>
      <c r="F35" s="19">
        <v>-494.5</v>
      </c>
      <c r="G35" s="19">
        <v>-541.70000000000005</v>
      </c>
    </row>
    <row r="36" spans="1:7" x14ac:dyDescent="0.2">
      <c r="A36" s="11" t="s">
        <v>280</v>
      </c>
      <c r="B36" s="19">
        <v>754.73099999999999</v>
      </c>
      <c r="C36" s="19">
        <v>324.27999999999997</v>
      </c>
      <c r="D36" s="19">
        <v>30.545000000000002</v>
      </c>
      <c r="E36" s="19">
        <v>302.84100000000001</v>
      </c>
      <c r="F36" s="19">
        <v>184.29400000000001</v>
      </c>
      <c r="G36" s="19">
        <v>160.06399999999999</v>
      </c>
    </row>
    <row r="37" spans="1:7" x14ac:dyDescent="0.2">
      <c r="A37" s="9" t="s">
        <v>281</v>
      </c>
      <c r="B37" s="29">
        <v>217.87</v>
      </c>
      <c r="C37" s="29">
        <v>-121.3</v>
      </c>
      <c r="D37" s="29">
        <v>-225.7</v>
      </c>
      <c r="E37" s="29">
        <v>-216.8</v>
      </c>
      <c r="F37" s="29">
        <v>-310.2</v>
      </c>
      <c r="G37" s="29">
        <v>-381.6</v>
      </c>
    </row>
    <row r="38" spans="1:7" x14ac:dyDescent="0.2">
      <c r="A38" s="11" t="s">
        <v>282</v>
      </c>
      <c r="B38" s="19" t="s">
        <v>30</v>
      </c>
      <c r="C38" s="19" t="s">
        <v>30</v>
      </c>
      <c r="D38" s="19" t="s">
        <v>30</v>
      </c>
      <c r="E38" s="19">
        <v>-264</v>
      </c>
      <c r="F38" s="19" t="s">
        <v>30</v>
      </c>
      <c r="G38" s="19" t="s">
        <v>30</v>
      </c>
    </row>
    <row r="39" spans="1:7" x14ac:dyDescent="0.2">
      <c r="A39" s="11" t="s">
        <v>283</v>
      </c>
      <c r="B39" s="19" t="s">
        <v>30</v>
      </c>
      <c r="C39" s="19" t="s">
        <v>30</v>
      </c>
      <c r="D39" s="19" t="s">
        <v>30</v>
      </c>
      <c r="E39" s="19" t="s">
        <v>30</v>
      </c>
      <c r="F39" s="19" t="s">
        <v>30</v>
      </c>
      <c r="G39" s="19" t="s">
        <v>30</v>
      </c>
    </row>
    <row r="40" spans="1:7" x14ac:dyDescent="0.2">
      <c r="A40" s="11" t="s">
        <v>284</v>
      </c>
      <c r="B40" s="19">
        <v>-2.6</v>
      </c>
      <c r="C40" s="19">
        <v>-13.5</v>
      </c>
      <c r="D40" s="19">
        <v>214.83500000000001</v>
      </c>
      <c r="E40" s="19">
        <v>32.646000000000001</v>
      </c>
      <c r="F40" s="19">
        <v>261.72800000000001</v>
      </c>
      <c r="G40" s="19">
        <v>263.04199999999997</v>
      </c>
    </row>
    <row r="41" spans="1:7" x14ac:dyDescent="0.2">
      <c r="A41" s="11" t="s">
        <v>285</v>
      </c>
      <c r="B41" s="19">
        <v>22.173999999999999</v>
      </c>
      <c r="C41" s="19">
        <v>10.401</v>
      </c>
      <c r="D41" s="19">
        <v>-24.8</v>
      </c>
      <c r="E41" s="19">
        <v>-28.1</v>
      </c>
      <c r="F41" s="19">
        <v>-14.8</v>
      </c>
      <c r="G41" s="19">
        <v>-18.399999999999999</v>
      </c>
    </row>
    <row r="42" spans="1:7" x14ac:dyDescent="0.2">
      <c r="A42" s="11" t="s">
        <v>286</v>
      </c>
      <c r="B42" s="19" t="s">
        <v>30</v>
      </c>
      <c r="C42" s="19" t="s">
        <v>30</v>
      </c>
      <c r="D42" s="19" t="s">
        <v>30</v>
      </c>
      <c r="E42" s="19" t="s">
        <v>30</v>
      </c>
      <c r="F42" s="19" t="s">
        <v>30</v>
      </c>
      <c r="G42" s="19" t="s">
        <v>30</v>
      </c>
    </row>
    <row r="43" spans="1:7" x14ac:dyDescent="0.2">
      <c r="A43" s="11" t="s">
        <v>287</v>
      </c>
      <c r="B43" s="19">
        <v>16.222000000000001</v>
      </c>
      <c r="C43" s="19">
        <v>4</v>
      </c>
      <c r="D43" s="19">
        <v>2.4500000000000002</v>
      </c>
      <c r="E43" s="19" t="s">
        <v>30</v>
      </c>
      <c r="F43" s="19" t="s">
        <v>30</v>
      </c>
      <c r="G43" s="19" t="s">
        <v>30</v>
      </c>
    </row>
    <row r="44" spans="1:7" x14ac:dyDescent="0.2">
      <c r="A44" s="9" t="s">
        <v>288</v>
      </c>
      <c r="B44" s="29">
        <v>253.64500000000001</v>
      </c>
      <c r="C44" s="29">
        <v>-120.4</v>
      </c>
      <c r="D44" s="29">
        <v>-33.299999999999997</v>
      </c>
      <c r="E44" s="29">
        <v>-476.3</v>
      </c>
      <c r="F44" s="29">
        <v>-63.2</v>
      </c>
      <c r="G44" s="29">
        <v>-137</v>
      </c>
    </row>
    <row r="45" spans="1:7" x14ac:dyDescent="0.2">
      <c r="A45" s="11"/>
      <c r="B45" s="11"/>
      <c r="C45" s="11"/>
      <c r="D45" s="11"/>
      <c r="E45" s="11"/>
      <c r="F45" s="11"/>
      <c r="G45" s="11"/>
    </row>
    <row r="46" spans="1:7" x14ac:dyDescent="0.2">
      <c r="A46" s="11" t="s">
        <v>289</v>
      </c>
      <c r="B46" s="19" t="s">
        <v>30</v>
      </c>
      <c r="C46" s="19" t="s">
        <v>30</v>
      </c>
      <c r="D46" s="19" t="s">
        <v>30</v>
      </c>
      <c r="E46" s="19" t="s">
        <v>30</v>
      </c>
      <c r="F46" s="19" t="s">
        <v>30</v>
      </c>
      <c r="G46" s="19" t="s">
        <v>30</v>
      </c>
    </row>
    <row r="47" spans="1:7" x14ac:dyDescent="0.2">
      <c r="A47" s="11" t="s">
        <v>290</v>
      </c>
      <c r="B47" s="19">
        <v>143.226</v>
      </c>
      <c r="C47" s="19">
        <v>466.02800000000002</v>
      </c>
      <c r="D47" s="19">
        <v>1490</v>
      </c>
      <c r="E47" s="19">
        <v>500</v>
      </c>
      <c r="F47" s="19">
        <v>1269</v>
      </c>
      <c r="G47" s="19">
        <v>500</v>
      </c>
    </row>
    <row r="48" spans="1:7" x14ac:dyDescent="0.2">
      <c r="A48" s="9" t="s">
        <v>291</v>
      </c>
      <c r="B48" s="29">
        <v>143.226</v>
      </c>
      <c r="C48" s="29">
        <v>466.02800000000002</v>
      </c>
      <c r="D48" s="29">
        <v>1490</v>
      </c>
      <c r="E48" s="29">
        <v>500</v>
      </c>
      <c r="F48" s="29">
        <v>1269</v>
      </c>
      <c r="G48" s="29">
        <v>500</v>
      </c>
    </row>
    <row r="49" spans="1:7" x14ac:dyDescent="0.2">
      <c r="A49" s="11" t="s">
        <v>292</v>
      </c>
      <c r="B49" s="19" t="s">
        <v>30</v>
      </c>
      <c r="C49" s="19" t="s">
        <v>30</v>
      </c>
      <c r="D49" s="19" t="s">
        <v>30</v>
      </c>
      <c r="E49" s="19" t="s">
        <v>30</v>
      </c>
      <c r="F49" s="19" t="s">
        <v>30</v>
      </c>
      <c r="G49" s="19" t="s">
        <v>30</v>
      </c>
    </row>
    <row r="50" spans="1:7" x14ac:dyDescent="0.2">
      <c r="A50" s="11" t="s">
        <v>293</v>
      </c>
      <c r="B50" s="19">
        <v>-533</v>
      </c>
      <c r="C50" s="19">
        <v>-18.8</v>
      </c>
      <c r="D50" s="19">
        <v>-1444.2</v>
      </c>
      <c r="E50" s="19">
        <v>-239.9</v>
      </c>
      <c r="F50" s="19">
        <v>-1616.8</v>
      </c>
      <c r="G50" s="19">
        <v>-60.8</v>
      </c>
    </row>
    <row r="51" spans="1:7" x14ac:dyDescent="0.2">
      <c r="A51" s="9" t="s">
        <v>294</v>
      </c>
      <c r="B51" s="29">
        <v>-533</v>
      </c>
      <c r="C51" s="29">
        <v>-18.8</v>
      </c>
      <c r="D51" s="29">
        <v>-1444.2</v>
      </c>
      <c r="E51" s="29">
        <v>-239.9</v>
      </c>
      <c r="F51" s="29">
        <v>-1616.8</v>
      </c>
      <c r="G51" s="29">
        <v>-60.8</v>
      </c>
    </row>
    <row r="52" spans="1:7" x14ac:dyDescent="0.2">
      <c r="A52" s="11"/>
      <c r="B52" s="11"/>
      <c r="C52" s="11"/>
      <c r="D52" s="11"/>
      <c r="E52" s="11"/>
      <c r="F52" s="11"/>
      <c r="G52" s="11"/>
    </row>
    <row r="53" spans="1:7" x14ac:dyDescent="0.2">
      <c r="A53" s="11" t="s">
        <v>295</v>
      </c>
      <c r="B53" s="19">
        <v>0.59099999999999997</v>
      </c>
      <c r="C53" s="19">
        <v>204.012</v>
      </c>
      <c r="D53" s="19">
        <v>0.98099999999999998</v>
      </c>
      <c r="E53" s="19">
        <v>82.989000000000004</v>
      </c>
      <c r="F53" s="19">
        <v>15.513</v>
      </c>
      <c r="G53" s="19">
        <v>3.7269999999999999</v>
      </c>
    </row>
    <row r="54" spans="1:7" x14ac:dyDescent="0.2">
      <c r="A54" s="11" t="s">
        <v>296</v>
      </c>
      <c r="B54" s="19">
        <v>-75.099999999999994</v>
      </c>
      <c r="C54" s="19">
        <v>-4</v>
      </c>
      <c r="D54" s="19">
        <v>-5.4</v>
      </c>
      <c r="E54" s="19">
        <v>-20.8</v>
      </c>
      <c r="F54" s="19">
        <v>-13.7</v>
      </c>
      <c r="G54" s="19">
        <v>-16.3</v>
      </c>
    </row>
    <row r="55" spans="1:7" x14ac:dyDescent="0.2">
      <c r="A55" s="11" t="s">
        <v>297</v>
      </c>
      <c r="B55" s="19">
        <v>33.113999999999997</v>
      </c>
      <c r="C55" s="19" t="s">
        <v>30</v>
      </c>
      <c r="D55" s="19" t="s">
        <v>30</v>
      </c>
      <c r="E55" s="19" t="s">
        <v>30</v>
      </c>
      <c r="F55" s="19" t="s">
        <v>30</v>
      </c>
      <c r="G55" s="19" t="s">
        <v>30</v>
      </c>
    </row>
    <row r="56" spans="1:7" x14ac:dyDescent="0.2">
      <c r="A56" s="11" t="s">
        <v>298</v>
      </c>
      <c r="B56" s="19" t="s">
        <v>30</v>
      </c>
      <c r="C56" s="19">
        <v>-575</v>
      </c>
      <c r="D56" s="19" t="s">
        <v>30</v>
      </c>
      <c r="E56" s="19" t="s">
        <v>30</v>
      </c>
      <c r="F56" s="19">
        <v>-3.4</v>
      </c>
      <c r="G56" s="19">
        <v>-1.5</v>
      </c>
    </row>
    <row r="57" spans="1:7" x14ac:dyDescent="0.2">
      <c r="A57" s="11"/>
      <c r="B57" s="11"/>
      <c r="C57" s="11"/>
      <c r="D57" s="11"/>
      <c r="E57" s="11"/>
      <c r="F57" s="11"/>
      <c r="G57" s="11"/>
    </row>
    <row r="58" spans="1:7" x14ac:dyDescent="0.2">
      <c r="A58" s="11" t="s">
        <v>299</v>
      </c>
      <c r="B58" s="19">
        <v>-529.79999999999995</v>
      </c>
      <c r="C58" s="19">
        <v>-531.6</v>
      </c>
      <c r="D58" s="19">
        <v>-379.9</v>
      </c>
      <c r="E58" s="19">
        <v>-382.1</v>
      </c>
      <c r="F58" s="19">
        <v>-544.70000000000005</v>
      </c>
      <c r="G58" s="19">
        <v>-657.5</v>
      </c>
    </row>
    <row r="59" spans="1:7" x14ac:dyDescent="0.2">
      <c r="A59" s="9" t="s">
        <v>300</v>
      </c>
      <c r="B59" s="29">
        <v>-529.79999999999995</v>
      </c>
      <c r="C59" s="29">
        <v>-531.6</v>
      </c>
      <c r="D59" s="29">
        <v>-379.9</v>
      </c>
      <c r="E59" s="29">
        <v>-382.1</v>
      </c>
      <c r="F59" s="29">
        <v>-544.70000000000005</v>
      </c>
      <c r="G59" s="29">
        <v>-657.5</v>
      </c>
    </row>
    <row r="60" spans="1:7" x14ac:dyDescent="0.2">
      <c r="A60" s="11"/>
      <c r="B60" s="11"/>
      <c r="C60" s="11"/>
      <c r="D60" s="11"/>
      <c r="E60" s="11"/>
      <c r="F60" s="11"/>
      <c r="G60" s="11"/>
    </row>
    <row r="61" spans="1:7" x14ac:dyDescent="0.2">
      <c r="A61" s="11" t="s">
        <v>301</v>
      </c>
      <c r="B61" s="19">
        <v>-25.6</v>
      </c>
      <c r="C61" s="19">
        <v>-23.6</v>
      </c>
      <c r="D61" s="19">
        <v>-49</v>
      </c>
      <c r="E61" s="19">
        <v>-41.2</v>
      </c>
      <c r="F61" s="19">
        <v>-88.6</v>
      </c>
      <c r="G61" s="19">
        <v>-68.400000000000006</v>
      </c>
    </row>
    <row r="62" spans="1:7" x14ac:dyDescent="0.2">
      <c r="A62" s="9" t="s">
        <v>302</v>
      </c>
      <c r="B62" s="29">
        <v>-986.5</v>
      </c>
      <c r="C62" s="29">
        <v>-482.8</v>
      </c>
      <c r="D62" s="29">
        <v>-387.4</v>
      </c>
      <c r="E62" s="29">
        <v>-101.1</v>
      </c>
      <c r="F62" s="29">
        <v>-982.7</v>
      </c>
      <c r="G62" s="29">
        <v>-300.7</v>
      </c>
    </row>
    <row r="63" spans="1:7" x14ac:dyDescent="0.2">
      <c r="A63" s="11"/>
      <c r="B63" s="11"/>
      <c r="C63" s="11"/>
      <c r="D63" s="11"/>
      <c r="E63" s="11"/>
      <c r="F63" s="11"/>
      <c r="G63" s="11"/>
    </row>
    <row r="64" spans="1:7" x14ac:dyDescent="0.2">
      <c r="A64" s="9" t="s">
        <v>303</v>
      </c>
      <c r="B64" s="30">
        <v>-94.9</v>
      </c>
      <c r="C64" s="30">
        <v>-19.600000000000001</v>
      </c>
      <c r="D64" s="30">
        <v>169.24100000000001</v>
      </c>
      <c r="E64" s="30">
        <v>41.475000000000001</v>
      </c>
      <c r="F64" s="30">
        <v>-184.8</v>
      </c>
      <c r="G64" s="30">
        <v>633.928</v>
      </c>
    </row>
    <row r="65" spans="1:7" x14ac:dyDescent="0.2">
      <c r="A65" s="11"/>
      <c r="B65" s="11"/>
      <c r="C65" s="11"/>
      <c r="D65" s="11"/>
      <c r="E65" s="11"/>
      <c r="F65" s="11"/>
      <c r="G65" s="11"/>
    </row>
    <row r="66" spans="1:7" x14ac:dyDescent="0.2">
      <c r="A66" s="9" t="s">
        <v>148</v>
      </c>
      <c r="B66" s="11"/>
      <c r="C66" s="11"/>
      <c r="D66" s="11"/>
      <c r="E66" s="11"/>
      <c r="F66" s="11"/>
      <c r="G66" s="11"/>
    </row>
    <row r="67" spans="1:7" x14ac:dyDescent="0.2">
      <c r="A67" s="11" t="s">
        <v>304</v>
      </c>
      <c r="B67" s="19">
        <v>186.393</v>
      </c>
      <c r="C67" s="19">
        <v>167.495</v>
      </c>
      <c r="D67" s="19">
        <v>176.02</v>
      </c>
      <c r="E67" s="19">
        <v>197.947</v>
      </c>
      <c r="F67" s="19">
        <v>251.024</v>
      </c>
      <c r="G67" s="19">
        <v>250.43199999999999</v>
      </c>
    </row>
    <row r="68" spans="1:7" x14ac:dyDescent="0.2">
      <c r="A68" s="11" t="s">
        <v>305</v>
      </c>
      <c r="B68" s="19">
        <v>0.51400000000000001</v>
      </c>
      <c r="C68" s="19">
        <v>1.1060000000000001</v>
      </c>
      <c r="D68" s="19">
        <v>0.747</v>
      </c>
      <c r="E68" s="19">
        <v>1.9610000000000001</v>
      </c>
      <c r="F68" s="19">
        <v>11.869</v>
      </c>
      <c r="G68" s="19">
        <v>65.266999999999996</v>
      </c>
    </row>
    <row r="69" spans="1:7" x14ac:dyDescent="0.2">
      <c r="A69" s="11" t="s">
        <v>306</v>
      </c>
      <c r="B69" s="19">
        <v>-389.7</v>
      </c>
      <c r="C69" s="19">
        <v>447.27699999999999</v>
      </c>
      <c r="D69" s="19">
        <v>45.845999999999997</v>
      </c>
      <c r="E69" s="19">
        <v>260.08999999999997</v>
      </c>
      <c r="F69" s="19">
        <v>-347.8</v>
      </c>
      <c r="G69" s="19">
        <v>439.23200000000003</v>
      </c>
    </row>
    <row r="70" spans="1:7" x14ac:dyDescent="0.2">
      <c r="A70" s="11" t="s">
        <v>307</v>
      </c>
      <c r="B70" s="19">
        <v>469.97224999999997</v>
      </c>
      <c r="C70" s="19">
        <v>460.88212499999997</v>
      </c>
      <c r="D70" s="19">
        <v>236.18799999999999</v>
      </c>
      <c r="E70" s="19">
        <v>593.98649999999998</v>
      </c>
      <c r="F70" s="19">
        <v>615.17724999999996</v>
      </c>
      <c r="G70" s="19">
        <v>799.06399999999996</v>
      </c>
    </row>
    <row r="71" spans="1:7" x14ac:dyDescent="0.2">
      <c r="A71" s="11" t="s">
        <v>308</v>
      </c>
      <c r="B71" s="19">
        <v>584.55912499999999</v>
      </c>
      <c r="C71" s="19">
        <v>571.75400000000002</v>
      </c>
      <c r="D71" s="19">
        <v>353.00299999999999</v>
      </c>
      <c r="E71" s="19">
        <v>721.56962499999997</v>
      </c>
      <c r="F71" s="19">
        <v>756.94162500000004</v>
      </c>
      <c r="G71" s="19">
        <v>955.43962499999998</v>
      </c>
    </row>
    <row r="72" spans="1:7" x14ac:dyDescent="0.2">
      <c r="A72" s="11" t="s">
        <v>309</v>
      </c>
      <c r="B72" s="19">
        <v>-1</v>
      </c>
      <c r="C72" s="19">
        <v>25.77</v>
      </c>
      <c r="D72" s="19">
        <v>145.09200000000001</v>
      </c>
      <c r="E72" s="19">
        <v>-38.4</v>
      </c>
      <c r="F72" s="19">
        <v>118.38200000000001</v>
      </c>
      <c r="G72" s="19">
        <v>-61.3</v>
      </c>
    </row>
    <row r="73" spans="1:7" x14ac:dyDescent="0.2">
      <c r="A73" s="11" t="s">
        <v>157</v>
      </c>
      <c r="B73" s="34">
        <v>44250</v>
      </c>
      <c r="C73" s="34">
        <v>44621</v>
      </c>
      <c r="D73" s="34">
        <v>44981</v>
      </c>
      <c r="E73" s="34">
        <v>45348</v>
      </c>
      <c r="F73" s="34">
        <v>45348</v>
      </c>
      <c r="G73" s="34">
        <v>45348</v>
      </c>
    </row>
    <row r="74" spans="1:7" x14ac:dyDescent="0.2">
      <c r="A74" s="11" t="s">
        <v>158</v>
      </c>
      <c r="B74" s="18" t="s">
        <v>160</v>
      </c>
      <c r="C74" s="18" t="s">
        <v>160</v>
      </c>
      <c r="D74" s="18" t="s">
        <v>160</v>
      </c>
      <c r="E74" s="18" t="s">
        <v>160</v>
      </c>
      <c r="F74" s="18" t="s">
        <v>160</v>
      </c>
      <c r="G74" s="18" t="s">
        <v>161</v>
      </c>
    </row>
    <row r="75" spans="1:7" x14ac:dyDescent="0.2">
      <c r="A75" s="11" t="s">
        <v>162</v>
      </c>
      <c r="B75" s="18" t="s">
        <v>163</v>
      </c>
      <c r="C75" s="18" t="s">
        <v>163</v>
      </c>
      <c r="D75" s="18" t="s">
        <v>163</v>
      </c>
      <c r="E75" s="18" t="s">
        <v>163</v>
      </c>
      <c r="F75" s="18" t="s">
        <v>163</v>
      </c>
      <c r="G75" s="18" t="s">
        <v>163</v>
      </c>
    </row>
    <row r="76" spans="1:7" x14ac:dyDescent="0.2">
      <c r="A76" s="11"/>
      <c r="B76" s="11"/>
      <c r="C76" s="11"/>
      <c r="D76" s="11"/>
      <c r="E76" s="11"/>
      <c r="F76" s="11"/>
      <c r="G76" s="11"/>
    </row>
    <row r="77" spans="1:7" ht="61.2" x14ac:dyDescent="0.2">
      <c r="A77" s="41" t="s">
        <v>76</v>
      </c>
      <c r="B77" s="12"/>
      <c r="C77" s="12"/>
      <c r="D77" s="12"/>
      <c r="E77" s="12"/>
      <c r="F77" s="12"/>
      <c r="G77" s="12"/>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91"/>
  <sheetViews>
    <sheetView workbookViewId="0"/>
    <sheetView workbookViewId="1"/>
    <sheetView workbookViewId="2"/>
  </sheetViews>
  <sheetFormatPr defaultRowHeight="10.199999999999999" x14ac:dyDescent="0.2"/>
  <cols>
    <col min="1" max="1" width="45.77734375" customWidth="1"/>
    <col min="2" max="7" width="14.77734375" customWidth="1"/>
    <col min="8" max="8" width="9.21875" customWidth="1"/>
  </cols>
  <sheetData>
    <row r="5" spans="1:255" ht="16.2" x14ac:dyDescent="0.25">
      <c r="A5" s="1" t="s">
        <v>310</v>
      </c>
    </row>
    <row r="7" spans="1:255" x14ac:dyDescent="0.2">
      <c r="A7" s="4"/>
      <c r="B7" s="3" t="s">
        <v>311</v>
      </c>
      <c r="C7" t="s">
        <v>312</v>
      </c>
      <c r="D7" s="4" t="s">
        <v>4</v>
      </c>
      <c r="E7" s="3" t="s">
        <v>313</v>
      </c>
      <c r="F7" t="s">
        <v>314</v>
      </c>
    </row>
    <row r="8" spans="1:255" x14ac:dyDescent="0.2">
      <c r="A8" s="4"/>
      <c r="B8" s="3" t="s">
        <v>315</v>
      </c>
      <c r="C8" t="s">
        <v>8</v>
      </c>
      <c r="D8" s="4" t="s">
        <v>4</v>
      </c>
      <c r="E8" s="3" t="s">
        <v>316</v>
      </c>
      <c r="F8" s="5" t="s">
        <v>12</v>
      </c>
    </row>
    <row r="9" spans="1:255" x14ac:dyDescent="0.2">
      <c r="A9" s="4"/>
      <c r="B9" s="3" t="s">
        <v>317</v>
      </c>
      <c r="C9" t="s">
        <v>14</v>
      </c>
      <c r="D9" s="4" t="s">
        <v>4</v>
      </c>
      <c r="E9" s="27"/>
      <c r="F9" s="27"/>
    </row>
    <row r="12" spans="1:255" x14ac:dyDescent="0.2">
      <c r="A12" s="6" t="s">
        <v>318</v>
      </c>
      <c r="B12" s="6"/>
      <c r="C12" s="6"/>
      <c r="D12" s="6"/>
      <c r="E12" s="6"/>
      <c r="F12" s="6"/>
      <c r="G12" s="6"/>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75"/>
      <c r="DT12" s="75"/>
      <c r="DU12" s="75"/>
      <c r="DV12" s="75"/>
      <c r="DW12" s="75"/>
      <c r="DX12" s="75"/>
      <c r="DY12" s="75"/>
      <c r="DZ12" s="75"/>
      <c r="EA12" s="75"/>
      <c r="EB12" s="75"/>
      <c r="EC12" s="75"/>
      <c r="ED12" s="75"/>
      <c r="EE12" s="75"/>
      <c r="EF12" s="75"/>
      <c r="EG12" s="75"/>
      <c r="EH12" s="75"/>
      <c r="EI12" s="75"/>
      <c r="EJ12" s="75"/>
      <c r="EK12" s="75"/>
      <c r="EL12" s="75"/>
      <c r="EM12" s="75"/>
      <c r="EN12" s="75"/>
      <c r="EO12" s="75"/>
      <c r="EP12" s="75"/>
      <c r="EQ12" s="75"/>
      <c r="ER12" s="75"/>
      <c r="ES12" s="75"/>
      <c r="ET12" s="75"/>
      <c r="EU12" s="75"/>
      <c r="EV12" s="75"/>
      <c r="EW12" s="75"/>
      <c r="EX12" s="75"/>
      <c r="EY12" s="75"/>
      <c r="EZ12" s="75"/>
      <c r="FA12" s="75"/>
      <c r="FB12" s="75"/>
      <c r="FC12" s="75"/>
      <c r="FD12" s="75"/>
      <c r="FE12" s="75"/>
      <c r="FF12" s="75"/>
      <c r="FG12" s="75"/>
      <c r="FH12" s="75"/>
      <c r="FI12" s="75"/>
      <c r="FJ12" s="75"/>
      <c r="FK12" s="75"/>
      <c r="FL12" s="75"/>
      <c r="FM12" s="75"/>
      <c r="FN12" s="75"/>
      <c r="FO12" s="75"/>
      <c r="FP12" s="75"/>
      <c r="FQ12" s="75"/>
      <c r="FR12" s="75"/>
      <c r="FS12" s="75"/>
      <c r="FT12" s="75"/>
      <c r="FU12" s="75"/>
      <c r="FV12" s="75"/>
      <c r="FW12" s="75"/>
      <c r="FX12" s="75"/>
      <c r="FY12" s="75"/>
      <c r="FZ12" s="75"/>
      <c r="GA12" s="75"/>
      <c r="GB12" s="75"/>
      <c r="GC12" s="75"/>
      <c r="GD12" s="75"/>
      <c r="GE12" s="75"/>
      <c r="GF12" s="75"/>
      <c r="GG12" s="75"/>
      <c r="GH12" s="75"/>
      <c r="GI12" s="75"/>
      <c r="GJ12" s="75"/>
      <c r="GK12" s="75"/>
      <c r="GL12" s="75"/>
      <c r="GM12" s="75"/>
      <c r="GN12" s="75"/>
      <c r="GO12" s="75"/>
      <c r="GP12" s="75"/>
      <c r="GQ12" s="75"/>
      <c r="GR12" s="75"/>
      <c r="GS12" s="75"/>
      <c r="GT12" s="75"/>
      <c r="GU12" s="75"/>
      <c r="GV12" s="75"/>
      <c r="GW12" s="75"/>
      <c r="GX12" s="75"/>
      <c r="GY12" s="75"/>
      <c r="GZ12" s="75"/>
      <c r="HA12" s="75"/>
      <c r="HB12" s="75"/>
      <c r="HC12" s="75"/>
      <c r="HD12" s="75"/>
      <c r="HE12" s="75"/>
      <c r="HF12" s="75"/>
      <c r="HG12" s="75"/>
      <c r="HH12" s="75"/>
      <c r="HI12" s="75"/>
      <c r="HJ12" s="75"/>
      <c r="HK12" s="75"/>
      <c r="HL12" s="75"/>
      <c r="HM12" s="75"/>
      <c r="HN12" s="75"/>
      <c r="HO12" s="75"/>
      <c r="HP12" s="75"/>
      <c r="HQ12" s="75"/>
      <c r="HR12" s="75"/>
      <c r="HS12" s="75"/>
      <c r="HT12" s="75"/>
      <c r="HU12" s="75"/>
      <c r="HV12" s="75"/>
      <c r="HW12" s="75"/>
      <c r="HX12" s="75"/>
      <c r="HY12" s="75"/>
      <c r="HZ12" s="75"/>
      <c r="IA12" s="75"/>
      <c r="IB12" s="75"/>
      <c r="IC12" s="75"/>
      <c r="ID12" s="75"/>
      <c r="IE12" s="75"/>
      <c r="IF12" s="75"/>
      <c r="IG12" s="75"/>
      <c r="IH12" s="75"/>
      <c r="II12" s="75"/>
      <c r="IJ12" s="75"/>
      <c r="IK12" s="75"/>
      <c r="IL12" s="75"/>
      <c r="IM12" s="75"/>
      <c r="IN12" s="75"/>
      <c r="IO12" s="75"/>
      <c r="IP12" s="75"/>
      <c r="IQ12" s="75"/>
      <c r="IR12" s="75"/>
      <c r="IS12" s="75"/>
      <c r="IT12" s="75"/>
      <c r="IU12" s="75"/>
    </row>
    <row r="13" spans="1:255" ht="12" x14ac:dyDescent="0.35">
      <c r="A13" s="42"/>
      <c r="B13" s="43"/>
      <c r="C13" s="43"/>
      <c r="D13" s="43"/>
      <c r="E13" s="43"/>
      <c r="F13" s="43"/>
      <c r="G13" s="43"/>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75"/>
      <c r="EC13" s="75"/>
      <c r="ED13" s="75"/>
      <c r="EE13" s="75"/>
      <c r="EF13" s="75"/>
      <c r="EG13" s="75"/>
      <c r="EH13" s="75"/>
      <c r="EI13" s="75"/>
      <c r="EJ13" s="75"/>
      <c r="EK13" s="75"/>
      <c r="EL13" s="75"/>
      <c r="EM13" s="75"/>
      <c r="EN13" s="75"/>
      <c r="EO13" s="75"/>
      <c r="EP13" s="75"/>
      <c r="EQ13" s="75"/>
      <c r="ER13" s="75"/>
      <c r="ES13" s="75"/>
      <c r="ET13" s="75"/>
      <c r="EU13" s="75"/>
      <c r="EV13" s="75"/>
      <c r="EW13" s="75"/>
      <c r="EX13" s="75"/>
      <c r="EY13" s="75"/>
      <c r="EZ13" s="75"/>
      <c r="FA13" s="75"/>
      <c r="FB13" s="75"/>
      <c r="FC13" s="75"/>
      <c r="FD13" s="75"/>
      <c r="FE13" s="75"/>
      <c r="FF13" s="75"/>
      <c r="FG13" s="75"/>
      <c r="FH13" s="75"/>
      <c r="FI13" s="75"/>
      <c r="FJ13" s="75"/>
      <c r="FK13" s="75"/>
      <c r="FL13" s="75"/>
      <c r="FM13" s="75"/>
      <c r="FN13" s="75"/>
      <c r="FO13" s="75"/>
      <c r="FP13" s="75"/>
      <c r="FQ13" s="75"/>
      <c r="FR13" s="75"/>
      <c r="FS13" s="75"/>
      <c r="FT13" s="75"/>
      <c r="FU13" s="75"/>
      <c r="FV13" s="75"/>
      <c r="FW13" s="75"/>
      <c r="FX13" s="75"/>
      <c r="FY13" s="75"/>
      <c r="FZ13" s="75"/>
      <c r="GA13" s="75"/>
      <c r="GB13" s="75"/>
      <c r="GC13" s="75"/>
      <c r="GD13" s="75"/>
      <c r="GE13" s="75"/>
      <c r="GF13" s="75"/>
      <c r="GG13" s="75"/>
      <c r="GH13" s="75"/>
      <c r="GI13" s="75"/>
      <c r="GJ13" s="75"/>
      <c r="GK13" s="75"/>
      <c r="GL13" s="75"/>
      <c r="GM13" s="75"/>
      <c r="GN13" s="75"/>
      <c r="GO13" s="75"/>
      <c r="GP13" s="75"/>
      <c r="GQ13" s="75"/>
      <c r="GR13" s="75"/>
      <c r="GS13" s="75"/>
      <c r="GT13" s="75"/>
      <c r="GU13" s="75"/>
      <c r="GV13" s="75"/>
      <c r="GW13" s="75"/>
      <c r="GX13" s="75"/>
      <c r="GY13" s="75"/>
      <c r="GZ13" s="75"/>
      <c r="HA13" s="75"/>
      <c r="HB13" s="75"/>
      <c r="HC13" s="75"/>
      <c r="HD13" s="75"/>
      <c r="HE13" s="75"/>
      <c r="HF13" s="75"/>
      <c r="HG13" s="75"/>
      <c r="HH13" s="75"/>
      <c r="HI13" s="75"/>
      <c r="HJ13" s="75"/>
      <c r="HK13" s="75"/>
      <c r="HL13" s="75"/>
      <c r="HM13" s="75"/>
      <c r="HN13" s="75"/>
      <c r="HO13" s="75"/>
      <c r="HP13" s="75"/>
      <c r="HQ13" s="75"/>
      <c r="HR13" s="75"/>
      <c r="HS13" s="75"/>
      <c r="HT13" s="75"/>
      <c r="HU13" s="75"/>
      <c r="HV13" s="75"/>
      <c r="HW13" s="75"/>
      <c r="HX13" s="75"/>
      <c r="HY13" s="75"/>
      <c r="HZ13" s="75"/>
      <c r="IA13" s="75"/>
      <c r="IB13" s="75"/>
      <c r="IC13" s="75"/>
      <c r="ID13" s="75"/>
      <c r="IE13" s="75"/>
      <c r="IF13" s="75"/>
      <c r="IG13" s="75"/>
      <c r="IH13" s="75"/>
      <c r="II13" s="75"/>
      <c r="IJ13" s="75"/>
      <c r="IK13" s="75"/>
      <c r="IL13" s="75"/>
      <c r="IM13" s="75"/>
      <c r="IN13" s="75"/>
      <c r="IO13" s="75"/>
      <c r="IP13" s="75"/>
      <c r="IQ13" s="75"/>
      <c r="IR13" s="75"/>
      <c r="IS13" s="75"/>
      <c r="IT13" s="75"/>
      <c r="IU13" s="75"/>
    </row>
    <row r="14" spans="1:255" x14ac:dyDescent="0.2">
      <c r="A14" s="44" t="s">
        <v>319</v>
      </c>
      <c r="B14" s="45"/>
      <c r="C14" s="46">
        <v>45107</v>
      </c>
      <c r="D14" s="46">
        <v>45198</v>
      </c>
      <c r="E14" s="46">
        <v>45289</v>
      </c>
      <c r="F14" s="46">
        <v>45379</v>
      </c>
      <c r="G14" s="46">
        <v>45383</v>
      </c>
    </row>
    <row r="15" spans="1:255" x14ac:dyDescent="0.2">
      <c r="A15" s="44" t="s">
        <v>320</v>
      </c>
      <c r="B15" s="47" t="s">
        <v>321</v>
      </c>
      <c r="C15" s="48">
        <v>10.86344970967742</v>
      </c>
      <c r="D15" s="48">
        <v>10.846545936507937</v>
      </c>
      <c r="E15" s="48">
        <v>10.580677634920635</v>
      </c>
      <c r="F15" s="48">
        <v>11.514076475409835</v>
      </c>
      <c r="G15" s="49" t="s">
        <v>30</v>
      </c>
    </row>
    <row r="16" spans="1:255" x14ac:dyDescent="0.2">
      <c r="A16" s="50"/>
      <c r="B16" s="50" t="s">
        <v>322</v>
      </c>
      <c r="C16" s="51">
        <v>11.236103999999999</v>
      </c>
      <c r="D16" s="51">
        <v>11.560803</v>
      </c>
      <c r="E16" s="51">
        <v>11.877592999999999</v>
      </c>
      <c r="F16" s="51">
        <v>11.934312</v>
      </c>
      <c r="G16" s="52" t="s">
        <v>30</v>
      </c>
    </row>
    <row r="17" spans="1:7" x14ac:dyDescent="0.2">
      <c r="A17" s="50"/>
      <c r="B17" s="50" t="s">
        <v>323</v>
      </c>
      <c r="C17" s="51">
        <v>10.469173</v>
      </c>
      <c r="D17" s="51">
        <v>10.088418000000001</v>
      </c>
      <c r="E17" s="51">
        <v>9.7148660000000007</v>
      </c>
      <c r="F17" s="51">
        <v>11.112677</v>
      </c>
      <c r="G17" s="52" t="s">
        <v>30</v>
      </c>
    </row>
    <row r="18" spans="1:7" x14ac:dyDescent="0.2">
      <c r="A18" s="50"/>
      <c r="B18" s="50" t="s">
        <v>324</v>
      </c>
      <c r="C18" s="51">
        <v>11.119884000000001</v>
      </c>
      <c r="D18" s="51">
        <v>10.141279000000001</v>
      </c>
      <c r="E18" s="51">
        <v>11.429735000000001</v>
      </c>
      <c r="F18" s="51">
        <v>11.43181</v>
      </c>
      <c r="G18" s="52" t="s">
        <v>30</v>
      </c>
    </row>
    <row r="19" spans="1:7" x14ac:dyDescent="0.2">
      <c r="A19" s="44"/>
      <c r="B19" s="47"/>
      <c r="C19" s="47"/>
      <c r="D19" s="47"/>
      <c r="E19" s="47"/>
      <c r="F19" s="47"/>
      <c r="G19" s="47"/>
    </row>
    <row r="20" spans="1:7" x14ac:dyDescent="0.2">
      <c r="A20" s="44" t="s">
        <v>325</v>
      </c>
      <c r="B20" s="47" t="s">
        <v>321</v>
      </c>
      <c r="C20" s="48">
        <v>10.671889</v>
      </c>
      <c r="D20" s="48">
        <v>10.572800000000001</v>
      </c>
      <c r="E20" s="48">
        <v>9.9660220000000006</v>
      </c>
      <c r="F20" s="48">
        <v>11.025069</v>
      </c>
      <c r="G20" s="49" t="s">
        <v>153</v>
      </c>
    </row>
    <row r="21" spans="1:7" x14ac:dyDescent="0.2">
      <c r="A21" s="50"/>
      <c r="B21" s="50" t="s">
        <v>322</v>
      </c>
      <c r="C21" s="51">
        <v>11.090821999999999</v>
      </c>
      <c r="D21" s="51">
        <v>11.409091999999999</v>
      </c>
      <c r="E21" s="51">
        <v>11.067974</v>
      </c>
      <c r="F21" s="51">
        <v>11.719628</v>
      </c>
      <c r="G21" s="52" t="s">
        <v>153</v>
      </c>
    </row>
    <row r="22" spans="1:7" x14ac:dyDescent="0.2">
      <c r="A22" s="50"/>
      <c r="B22" s="50" t="s">
        <v>323</v>
      </c>
      <c r="C22" s="51">
        <v>10.242457</v>
      </c>
      <c r="D22" s="51">
        <v>9.6830359999999995</v>
      </c>
      <c r="E22" s="51">
        <v>9.2350989999999999</v>
      </c>
      <c r="F22" s="51">
        <v>10.497237</v>
      </c>
      <c r="G22" s="52" t="s">
        <v>153</v>
      </c>
    </row>
    <row r="23" spans="1:7" x14ac:dyDescent="0.2">
      <c r="A23" s="50"/>
      <c r="B23" s="50" t="s">
        <v>324</v>
      </c>
      <c r="C23" s="51">
        <v>10.889274</v>
      </c>
      <c r="D23" s="51">
        <v>9.7337740000000004</v>
      </c>
      <c r="E23" s="51">
        <v>10.650644</v>
      </c>
      <c r="F23" s="51">
        <v>10.903243</v>
      </c>
      <c r="G23" s="52" t="s">
        <v>153</v>
      </c>
    </row>
    <row r="24" spans="1:7" x14ac:dyDescent="0.2">
      <c r="A24" s="44"/>
      <c r="B24" s="47"/>
      <c r="C24" s="47"/>
      <c r="D24" s="47"/>
      <c r="E24" s="47"/>
      <c r="F24" s="47"/>
      <c r="G24" s="47"/>
    </row>
    <row r="25" spans="1:7" x14ac:dyDescent="0.2">
      <c r="A25" s="44" t="s">
        <v>326</v>
      </c>
      <c r="B25" s="47" t="s">
        <v>321</v>
      </c>
      <c r="C25" s="48">
        <v>15.694541741935485</v>
      </c>
      <c r="D25" s="48">
        <v>16.062214253968254</v>
      </c>
      <c r="E25" s="48">
        <v>15.919191873015873</v>
      </c>
      <c r="F25" s="48">
        <v>17.406948770491802</v>
      </c>
      <c r="G25" s="49" t="s">
        <v>30</v>
      </c>
    </row>
    <row r="26" spans="1:7" x14ac:dyDescent="0.2">
      <c r="A26" s="50"/>
      <c r="B26" s="50" t="s">
        <v>322</v>
      </c>
      <c r="C26" s="51">
        <v>16.129034000000001</v>
      </c>
      <c r="D26" s="51">
        <v>16.741713000000001</v>
      </c>
      <c r="E26" s="51">
        <v>17.911740000000002</v>
      </c>
      <c r="F26" s="51">
        <v>17.997274000000001</v>
      </c>
      <c r="G26" s="52" t="s">
        <v>30</v>
      </c>
    </row>
    <row r="27" spans="1:7" x14ac:dyDescent="0.2">
      <c r="A27" s="50"/>
      <c r="B27" s="50" t="s">
        <v>323</v>
      </c>
      <c r="C27" s="51">
        <v>15.160875000000001</v>
      </c>
      <c r="D27" s="51">
        <v>15.069452999999999</v>
      </c>
      <c r="E27" s="51">
        <v>14.511464</v>
      </c>
      <c r="F27" s="51">
        <v>16.806989999999999</v>
      </c>
      <c r="G27" s="52" t="s">
        <v>30</v>
      </c>
    </row>
    <row r="28" spans="1:7" x14ac:dyDescent="0.2">
      <c r="A28" s="50"/>
      <c r="B28" s="50" t="s">
        <v>324</v>
      </c>
      <c r="C28" s="51">
        <v>16.103197999999999</v>
      </c>
      <c r="D28" s="51">
        <v>15.148414000000001</v>
      </c>
      <c r="E28" s="51">
        <v>17.236357999999999</v>
      </c>
      <c r="F28" s="51">
        <v>17.289650999999999</v>
      </c>
      <c r="G28" s="52" t="s">
        <v>30</v>
      </c>
    </row>
    <row r="29" spans="1:7" x14ac:dyDescent="0.2">
      <c r="A29" s="44"/>
      <c r="B29" s="47"/>
      <c r="C29" s="47"/>
      <c r="D29" s="47"/>
      <c r="E29" s="47"/>
      <c r="F29" s="47"/>
      <c r="G29" s="47"/>
    </row>
    <row r="30" spans="1:7" x14ac:dyDescent="0.2">
      <c r="A30" s="44" t="s">
        <v>327</v>
      </c>
      <c r="B30" s="47" t="s">
        <v>321</v>
      </c>
      <c r="C30" s="48">
        <v>15.807781</v>
      </c>
      <c r="D30" s="48">
        <v>15.924277999999999</v>
      </c>
      <c r="E30" s="48">
        <v>15.288375</v>
      </c>
      <c r="F30" s="48">
        <v>15.791793999999999</v>
      </c>
      <c r="G30" s="49" t="s">
        <v>153</v>
      </c>
    </row>
    <row r="31" spans="1:7" x14ac:dyDescent="0.2">
      <c r="A31" s="50"/>
      <c r="B31" s="50" t="s">
        <v>322</v>
      </c>
      <c r="C31" s="51">
        <v>16.218440999999999</v>
      </c>
      <c r="D31" s="51">
        <v>16.760553999999999</v>
      </c>
      <c r="E31" s="51">
        <v>16.937885000000001</v>
      </c>
      <c r="F31" s="51">
        <v>16.390204000000001</v>
      </c>
      <c r="G31" s="52" t="s">
        <v>153</v>
      </c>
    </row>
    <row r="32" spans="1:7" x14ac:dyDescent="0.2">
      <c r="A32" s="50"/>
      <c r="B32" s="50" t="s">
        <v>323</v>
      </c>
      <c r="C32" s="51">
        <v>15.351903999999999</v>
      </c>
      <c r="D32" s="51">
        <v>15.226763999999999</v>
      </c>
      <c r="E32" s="51">
        <v>14.372899</v>
      </c>
      <c r="F32" s="51">
        <v>15.046578999999999</v>
      </c>
      <c r="G32" s="52" t="s">
        <v>153</v>
      </c>
    </row>
    <row r="33" spans="1:7" x14ac:dyDescent="0.2">
      <c r="A33" s="50"/>
      <c r="B33" s="50" t="s">
        <v>324</v>
      </c>
      <c r="C33" s="51">
        <v>16.218440999999999</v>
      </c>
      <c r="D33" s="51">
        <v>15.258709</v>
      </c>
      <c r="E33" s="51">
        <v>16.234054</v>
      </c>
      <c r="F33" s="51">
        <v>15.655605</v>
      </c>
      <c r="G33" s="52" t="s">
        <v>153</v>
      </c>
    </row>
    <row r="34" spans="1:7" x14ac:dyDescent="0.2">
      <c r="A34" s="44"/>
      <c r="B34" s="47"/>
      <c r="C34" s="47"/>
      <c r="D34" s="47"/>
      <c r="E34" s="47"/>
      <c r="F34" s="47"/>
      <c r="G34" s="47"/>
    </row>
    <row r="35" spans="1:7" x14ac:dyDescent="0.2">
      <c r="A35" s="44" t="s">
        <v>328</v>
      </c>
      <c r="B35" s="47" t="s">
        <v>321</v>
      </c>
      <c r="C35" s="48">
        <v>26.958482290322582</v>
      </c>
      <c r="D35" s="48">
        <v>27.890170666666666</v>
      </c>
      <c r="E35" s="48">
        <v>27.844132333333334</v>
      </c>
      <c r="F35" s="48">
        <v>30.459218754098362</v>
      </c>
      <c r="G35" s="49" t="s">
        <v>30</v>
      </c>
    </row>
    <row r="36" spans="1:7" x14ac:dyDescent="0.2">
      <c r="A36" s="50"/>
      <c r="B36" s="50" t="s">
        <v>322</v>
      </c>
      <c r="C36" s="51">
        <v>27.790613</v>
      </c>
      <c r="D36" s="51">
        <v>28.985969999999998</v>
      </c>
      <c r="E36" s="51">
        <v>31.358637999999999</v>
      </c>
      <c r="F36" s="51">
        <v>31.508385000000001</v>
      </c>
      <c r="G36" s="52" t="s">
        <v>30</v>
      </c>
    </row>
    <row r="37" spans="1:7" x14ac:dyDescent="0.2">
      <c r="A37" s="50"/>
      <c r="B37" s="50" t="s">
        <v>323</v>
      </c>
      <c r="C37" s="51">
        <v>26.013598000000002</v>
      </c>
      <c r="D37" s="51">
        <v>26.286131999999998</v>
      </c>
      <c r="E37" s="51">
        <v>25.312812999999998</v>
      </c>
      <c r="F37" s="51">
        <v>29.28745</v>
      </c>
      <c r="G37" s="52" t="s">
        <v>30</v>
      </c>
    </row>
    <row r="38" spans="1:7" x14ac:dyDescent="0.2">
      <c r="A38" s="50"/>
      <c r="B38" s="50" t="s">
        <v>324</v>
      </c>
      <c r="C38" s="51">
        <v>27.630472000000001</v>
      </c>
      <c r="D38" s="51">
        <v>26.423866</v>
      </c>
      <c r="E38" s="51">
        <v>30.176224999999999</v>
      </c>
      <c r="F38" s="51">
        <v>30.128523999999999</v>
      </c>
      <c r="G38" s="52" t="s">
        <v>30</v>
      </c>
    </row>
    <row r="39" spans="1:7" x14ac:dyDescent="0.2">
      <c r="A39" s="44"/>
      <c r="B39" s="47"/>
      <c r="C39" s="47"/>
      <c r="D39" s="47"/>
      <c r="E39" s="47"/>
      <c r="F39" s="47"/>
      <c r="G39" s="47"/>
    </row>
    <row r="40" spans="1:7" x14ac:dyDescent="0.2">
      <c r="A40" s="44" t="s">
        <v>329</v>
      </c>
      <c r="B40" s="47" t="s">
        <v>321</v>
      </c>
      <c r="C40" s="48">
        <v>29.957248</v>
      </c>
      <c r="D40" s="48">
        <v>30.764876999999998</v>
      </c>
      <c r="E40" s="48">
        <v>29.170432000000002</v>
      </c>
      <c r="F40" s="48">
        <v>29.971292999999999</v>
      </c>
      <c r="G40" s="49" t="s">
        <v>153</v>
      </c>
    </row>
    <row r="41" spans="1:7" x14ac:dyDescent="0.2">
      <c r="A41" s="50"/>
      <c r="B41" s="50" t="s">
        <v>322</v>
      </c>
      <c r="C41" s="51">
        <v>30.874345999999999</v>
      </c>
      <c r="D41" s="51">
        <v>32.517601999999997</v>
      </c>
      <c r="E41" s="51">
        <v>30.397134000000001</v>
      </c>
      <c r="F41" s="51">
        <v>39.946364000000003</v>
      </c>
      <c r="G41" s="52" t="s">
        <v>153</v>
      </c>
    </row>
    <row r="42" spans="1:7" x14ac:dyDescent="0.2">
      <c r="A42" s="50"/>
      <c r="B42" s="50" t="s">
        <v>323</v>
      </c>
      <c r="C42" s="51">
        <v>29.118818999999998</v>
      </c>
      <c r="D42" s="51">
        <v>28.774642</v>
      </c>
      <c r="E42" s="51">
        <v>28.024381999999999</v>
      </c>
      <c r="F42" s="51">
        <v>27.453602</v>
      </c>
      <c r="G42" s="52" t="s">
        <v>153</v>
      </c>
    </row>
    <row r="43" spans="1:7" x14ac:dyDescent="0.2">
      <c r="A43" s="50"/>
      <c r="B43" s="50" t="s">
        <v>324</v>
      </c>
      <c r="C43" s="51">
        <v>30.874345999999999</v>
      </c>
      <c r="D43" s="51">
        <v>29.848648000000001</v>
      </c>
      <c r="E43" s="51">
        <v>28.973274</v>
      </c>
      <c r="F43" s="51">
        <v>29.749869</v>
      </c>
      <c r="G43" s="52" t="s">
        <v>153</v>
      </c>
    </row>
    <row r="44" spans="1:7" x14ac:dyDescent="0.2">
      <c r="A44" s="44"/>
      <c r="B44" s="47"/>
      <c r="C44" s="47"/>
      <c r="D44" s="47"/>
      <c r="E44" s="47"/>
      <c r="F44" s="47"/>
      <c r="G44" s="47"/>
    </row>
    <row r="45" spans="1:7" x14ac:dyDescent="0.2">
      <c r="A45" s="44" t="s">
        <v>330</v>
      </c>
      <c r="B45" s="47" t="s">
        <v>321</v>
      </c>
      <c r="C45" s="48">
        <v>88.389391435483873</v>
      </c>
      <c r="D45" s="48">
        <v>45.416926793650795</v>
      </c>
      <c r="E45" s="48">
        <v>27.757683126984126</v>
      </c>
      <c r="F45" s="48">
        <v>23.292975344262295</v>
      </c>
      <c r="G45" s="49" t="s">
        <v>30</v>
      </c>
    </row>
    <row r="46" spans="1:7" x14ac:dyDescent="0.2">
      <c r="A46" s="50"/>
      <c r="B46" s="50" t="s">
        <v>322</v>
      </c>
      <c r="C46" s="51">
        <v>121.6875</v>
      </c>
      <c r="D46" s="51">
        <v>85.794044999999997</v>
      </c>
      <c r="E46" s="51">
        <v>31.894390999999999</v>
      </c>
      <c r="F46" s="51">
        <v>30.044827000000002</v>
      </c>
      <c r="G46" s="52" t="s">
        <v>30</v>
      </c>
    </row>
    <row r="47" spans="1:7" x14ac:dyDescent="0.2">
      <c r="A47" s="50"/>
      <c r="B47" s="50" t="s">
        <v>323</v>
      </c>
      <c r="C47" s="51">
        <v>73.227836999999994</v>
      </c>
      <c r="D47" s="51">
        <v>28.622727999999999</v>
      </c>
      <c r="E47" s="51">
        <v>23.818432000000001</v>
      </c>
      <c r="F47" s="51">
        <v>18.482797999999999</v>
      </c>
      <c r="G47" s="52" t="s">
        <v>30</v>
      </c>
    </row>
    <row r="48" spans="1:7" x14ac:dyDescent="0.2">
      <c r="A48" s="50"/>
      <c r="B48" s="50" t="s">
        <v>324</v>
      </c>
      <c r="C48" s="51">
        <v>80.718442999999994</v>
      </c>
      <c r="D48" s="51">
        <v>28.868908999999999</v>
      </c>
      <c r="E48" s="51">
        <v>30.087183</v>
      </c>
      <c r="F48" s="51">
        <v>19.279131</v>
      </c>
      <c r="G48" s="52" t="s">
        <v>30</v>
      </c>
    </row>
    <row r="49" spans="1:7" x14ac:dyDescent="0.2">
      <c r="A49" s="44"/>
      <c r="B49" s="47"/>
      <c r="C49" s="47"/>
      <c r="D49" s="47"/>
      <c r="E49" s="47"/>
      <c r="F49" s="47"/>
      <c r="G49" s="47"/>
    </row>
    <row r="50" spans="1:7" x14ac:dyDescent="0.2">
      <c r="A50" s="44" t="s">
        <v>331</v>
      </c>
      <c r="B50" s="47" t="s">
        <v>321</v>
      </c>
      <c r="C50" s="48">
        <v>28.763847999999999</v>
      </c>
      <c r="D50" s="48">
        <v>30.379839</v>
      </c>
      <c r="E50" s="48">
        <v>28.493887999999998</v>
      </c>
      <c r="F50" s="48">
        <v>28.629308999999999</v>
      </c>
      <c r="G50" s="49" t="s">
        <v>153</v>
      </c>
    </row>
    <row r="51" spans="1:7" x14ac:dyDescent="0.2">
      <c r="A51" s="50"/>
      <c r="B51" s="50" t="s">
        <v>322</v>
      </c>
      <c r="C51" s="51">
        <v>31.729686000000001</v>
      </c>
      <c r="D51" s="51">
        <v>34.159061000000001</v>
      </c>
      <c r="E51" s="51">
        <v>32.085132999999999</v>
      </c>
      <c r="F51" s="51">
        <v>31.147539999999999</v>
      </c>
      <c r="G51" s="52" t="s">
        <v>153</v>
      </c>
    </row>
    <row r="52" spans="1:7" x14ac:dyDescent="0.2">
      <c r="A52" s="50"/>
      <c r="B52" s="50" t="s">
        <v>323</v>
      </c>
      <c r="C52" s="51">
        <v>25.248629000000001</v>
      </c>
      <c r="D52" s="51">
        <v>25.921644000000001</v>
      </c>
      <c r="E52" s="51">
        <v>25.668116000000001</v>
      </c>
      <c r="F52" s="51">
        <v>25.502576999999999</v>
      </c>
      <c r="G52" s="52" t="s">
        <v>153</v>
      </c>
    </row>
    <row r="53" spans="1:7" x14ac:dyDescent="0.2">
      <c r="A53" s="50"/>
      <c r="B53" s="50" t="s">
        <v>324</v>
      </c>
      <c r="C53" s="51">
        <v>31.729686000000001</v>
      </c>
      <c r="D53" s="51">
        <v>27.330639999999999</v>
      </c>
      <c r="E53" s="51">
        <v>28.840167000000001</v>
      </c>
      <c r="F53" s="51">
        <v>29.731490999999998</v>
      </c>
      <c r="G53" s="52" t="s">
        <v>153</v>
      </c>
    </row>
    <row r="54" spans="1:7" x14ac:dyDescent="0.2">
      <c r="A54" s="44"/>
      <c r="B54" s="47"/>
      <c r="C54" s="47"/>
      <c r="D54" s="47"/>
      <c r="E54" s="47"/>
      <c r="F54" s="47"/>
      <c r="G54" s="47"/>
    </row>
    <row r="55" spans="1:7" x14ac:dyDescent="0.2">
      <c r="A55" s="44" t="s">
        <v>332</v>
      </c>
      <c r="B55" s="47" t="s">
        <v>321</v>
      </c>
      <c r="C55" s="48">
        <v>29.170679903225807</v>
      </c>
      <c r="D55" s="48">
        <v>29.008636412698412</v>
      </c>
      <c r="E55" s="48">
        <v>29.788040174603175</v>
      </c>
      <c r="F55" s="48">
        <v>31.432059688524589</v>
      </c>
      <c r="G55" s="49" t="s">
        <v>30</v>
      </c>
    </row>
    <row r="56" spans="1:7" x14ac:dyDescent="0.2">
      <c r="A56" s="50"/>
      <c r="B56" s="50" t="s">
        <v>322</v>
      </c>
      <c r="C56" s="51">
        <v>37.054375999999998</v>
      </c>
      <c r="D56" s="51">
        <v>31.117115999999999</v>
      </c>
      <c r="E56" s="51">
        <v>36.053432999999998</v>
      </c>
      <c r="F56" s="51">
        <v>33.962685</v>
      </c>
      <c r="G56" s="52" t="s">
        <v>30</v>
      </c>
    </row>
    <row r="57" spans="1:7" x14ac:dyDescent="0.2">
      <c r="A57" s="50"/>
      <c r="B57" s="50" t="s">
        <v>323</v>
      </c>
      <c r="C57" s="51">
        <v>25.261047000000001</v>
      </c>
      <c r="D57" s="51">
        <v>26.62819</v>
      </c>
      <c r="E57" s="51">
        <v>25.009733000000001</v>
      </c>
      <c r="F57" s="51">
        <v>29.479606</v>
      </c>
      <c r="G57" s="52" t="s">
        <v>30</v>
      </c>
    </row>
    <row r="58" spans="1:7" x14ac:dyDescent="0.2">
      <c r="A58" s="50"/>
      <c r="B58" s="50" t="s">
        <v>324</v>
      </c>
      <c r="C58" s="51">
        <v>27.845044000000001</v>
      </c>
      <c r="D58" s="51">
        <v>26.857216999999999</v>
      </c>
      <c r="E58" s="51">
        <v>34.010565</v>
      </c>
      <c r="F58" s="51">
        <v>30.749738000000001</v>
      </c>
      <c r="G58" s="52" t="s">
        <v>30</v>
      </c>
    </row>
    <row r="59" spans="1:7" x14ac:dyDescent="0.2">
      <c r="A59" s="44"/>
      <c r="B59" s="47"/>
      <c r="C59" s="47"/>
      <c r="D59" s="47"/>
      <c r="E59" s="47"/>
      <c r="F59" s="47"/>
      <c r="G59" s="47"/>
    </row>
    <row r="60" spans="1:7" x14ac:dyDescent="0.2">
      <c r="A60" s="44" t="s">
        <v>74</v>
      </c>
      <c r="B60" s="47" t="s">
        <v>321</v>
      </c>
      <c r="C60" s="48">
        <v>1.2140192419354838</v>
      </c>
      <c r="D60" s="48">
        <v>1.249533126984127</v>
      </c>
      <c r="E60" s="48">
        <v>1.218890126984127</v>
      </c>
      <c r="F60" s="48">
        <v>1.2905141147540984</v>
      </c>
      <c r="G60" s="49" t="s">
        <v>30</v>
      </c>
    </row>
    <row r="61" spans="1:7" x14ac:dyDescent="0.2">
      <c r="A61" s="50"/>
      <c r="B61" s="50" t="s">
        <v>322</v>
      </c>
      <c r="C61" s="51">
        <v>1.2663580000000001</v>
      </c>
      <c r="D61" s="51">
        <v>1.345987</v>
      </c>
      <c r="E61" s="51">
        <v>1.460148</v>
      </c>
      <c r="F61" s="51">
        <v>1.3754740000000001</v>
      </c>
      <c r="G61" s="52" t="s">
        <v>30</v>
      </c>
    </row>
    <row r="62" spans="1:7" x14ac:dyDescent="0.2">
      <c r="A62" s="50"/>
      <c r="B62" s="50" t="s">
        <v>323</v>
      </c>
      <c r="C62" s="51">
        <v>1.148841</v>
      </c>
      <c r="D62" s="51">
        <v>1.1234299999999999</v>
      </c>
      <c r="E62" s="51">
        <v>1.055148</v>
      </c>
      <c r="F62" s="51">
        <v>1.2234149999999999</v>
      </c>
      <c r="G62" s="52" t="s">
        <v>30</v>
      </c>
    </row>
    <row r="63" spans="1:7" x14ac:dyDescent="0.2">
      <c r="A63" s="50"/>
      <c r="B63" s="50" t="s">
        <v>324</v>
      </c>
      <c r="C63" s="51">
        <v>1.2663580000000001</v>
      </c>
      <c r="D63" s="51">
        <v>1.1330929999999999</v>
      </c>
      <c r="E63" s="51">
        <v>1.377413</v>
      </c>
      <c r="F63" s="51">
        <v>1.2761260000000001</v>
      </c>
      <c r="G63" s="52" t="s">
        <v>30</v>
      </c>
    </row>
    <row r="64" spans="1:7" x14ac:dyDescent="0.2">
      <c r="A64" s="44"/>
      <c r="B64" s="47"/>
      <c r="C64" s="47"/>
      <c r="D64" s="47"/>
      <c r="E64" s="47"/>
      <c r="F64" s="47"/>
      <c r="G64" s="47"/>
    </row>
    <row r="65" spans="1:7" x14ac:dyDescent="0.2">
      <c r="A65" s="44" t="s">
        <v>333</v>
      </c>
      <c r="B65" s="47" t="s">
        <v>321</v>
      </c>
      <c r="C65" s="48">
        <v>1.2272452419354838</v>
      </c>
      <c r="D65" s="48">
        <v>1.249533126984127</v>
      </c>
      <c r="E65" s="48">
        <v>1.218890126984127</v>
      </c>
      <c r="F65" s="48">
        <v>1.3067191475409836</v>
      </c>
      <c r="G65" s="49" t="s">
        <v>30</v>
      </c>
    </row>
    <row r="66" spans="1:7" x14ac:dyDescent="0.2">
      <c r="A66" s="50"/>
      <c r="B66" s="50" t="s">
        <v>322</v>
      </c>
      <c r="C66" s="51">
        <v>1.314786</v>
      </c>
      <c r="D66" s="51">
        <v>1.345987</v>
      </c>
      <c r="E66" s="51">
        <v>1.460148</v>
      </c>
      <c r="F66" s="51">
        <v>1.3754740000000001</v>
      </c>
      <c r="G66" s="52" t="s">
        <v>30</v>
      </c>
    </row>
    <row r="67" spans="1:7" x14ac:dyDescent="0.2">
      <c r="A67" s="50"/>
      <c r="B67" s="50" t="s">
        <v>323</v>
      </c>
      <c r="C67" s="51">
        <v>1.148841</v>
      </c>
      <c r="D67" s="51">
        <v>1.1234299999999999</v>
      </c>
      <c r="E67" s="51">
        <v>1.055148</v>
      </c>
      <c r="F67" s="51">
        <v>1.2634399999999999</v>
      </c>
      <c r="G67" s="52" t="s">
        <v>30</v>
      </c>
    </row>
    <row r="68" spans="1:7" x14ac:dyDescent="0.2">
      <c r="A68" s="50"/>
      <c r="B68" s="50" t="s">
        <v>324</v>
      </c>
      <c r="C68" s="51">
        <v>1.2663580000000001</v>
      </c>
      <c r="D68" s="51">
        <v>1.1330929999999999</v>
      </c>
      <c r="E68" s="51">
        <v>1.377413</v>
      </c>
      <c r="F68" s="51">
        <v>1.3178749999999999</v>
      </c>
      <c r="G68" s="52" t="s">
        <v>30</v>
      </c>
    </row>
    <row r="69" spans="1:7" x14ac:dyDescent="0.2">
      <c r="A69" s="44"/>
      <c r="B69" s="47"/>
      <c r="C69" s="47"/>
      <c r="D69" s="47"/>
      <c r="E69" s="47"/>
      <c r="F69" s="47"/>
      <c r="G69" s="47"/>
    </row>
    <row r="70" spans="1:7" x14ac:dyDescent="0.2">
      <c r="A70" s="44" t="s">
        <v>334</v>
      </c>
      <c r="B70" s="47" t="s">
        <v>321</v>
      </c>
      <c r="C70" s="48">
        <v>11.490695000000001</v>
      </c>
      <c r="D70" s="48">
        <v>12.448624000000001</v>
      </c>
      <c r="E70" s="48">
        <v>11.671486</v>
      </c>
      <c r="F70" s="48">
        <v>12.754300000000001</v>
      </c>
      <c r="G70" s="49" t="s">
        <v>153</v>
      </c>
    </row>
    <row r="71" spans="1:7" x14ac:dyDescent="0.2">
      <c r="A71" s="50"/>
      <c r="B71" s="50" t="s">
        <v>322</v>
      </c>
      <c r="C71" s="51">
        <v>13.098933000000001</v>
      </c>
      <c r="D71" s="51">
        <v>13.500805</v>
      </c>
      <c r="E71" s="51">
        <v>13.858895</v>
      </c>
      <c r="F71" s="51">
        <v>13.197075999999999</v>
      </c>
      <c r="G71" s="52" t="s">
        <v>153</v>
      </c>
    </row>
    <row r="72" spans="1:7" x14ac:dyDescent="0.2">
      <c r="A72" s="50"/>
      <c r="B72" s="50" t="s">
        <v>323</v>
      </c>
      <c r="C72" s="51">
        <v>9.9944129999999998</v>
      </c>
      <c r="D72" s="51">
        <v>11.062893000000001</v>
      </c>
      <c r="E72" s="51">
        <v>10.301886</v>
      </c>
      <c r="F72" s="51">
        <v>12.092263000000001</v>
      </c>
      <c r="G72" s="52" t="s">
        <v>153</v>
      </c>
    </row>
    <row r="73" spans="1:7" x14ac:dyDescent="0.2">
      <c r="A73" s="50"/>
      <c r="B73" s="50" t="s">
        <v>324</v>
      </c>
      <c r="C73" s="51">
        <v>12.702093</v>
      </c>
      <c r="D73" s="51">
        <v>11.062893000000001</v>
      </c>
      <c r="E73" s="51">
        <v>13.073619000000001</v>
      </c>
      <c r="F73" s="51">
        <v>12.606553999999999</v>
      </c>
      <c r="G73" s="52" t="s">
        <v>153</v>
      </c>
    </row>
    <row r="74" spans="1:7" x14ac:dyDescent="0.2">
      <c r="A74" s="44"/>
      <c r="B74" s="47"/>
      <c r="C74" s="47"/>
      <c r="D74" s="47"/>
      <c r="E74" s="47"/>
      <c r="F74" s="47"/>
      <c r="G74" s="47"/>
    </row>
    <row r="75" spans="1:7" x14ac:dyDescent="0.2">
      <c r="A75" s="44" t="s">
        <v>335</v>
      </c>
      <c r="B75" s="47" t="s">
        <v>321</v>
      </c>
      <c r="C75" s="48">
        <v>19.5781818852459</v>
      </c>
      <c r="D75" s="48">
        <v>18.093699096774195</v>
      </c>
      <c r="E75" s="48">
        <v>16.84834</v>
      </c>
      <c r="F75" s="48">
        <v>19.6667494</v>
      </c>
      <c r="G75" s="49" t="s">
        <v>30</v>
      </c>
    </row>
    <row r="76" spans="1:7" x14ac:dyDescent="0.2">
      <c r="A76" s="50"/>
      <c r="B76" s="50" t="s">
        <v>322</v>
      </c>
      <c r="C76" s="51">
        <v>23.870443000000002</v>
      </c>
      <c r="D76" s="51">
        <v>19.353966</v>
      </c>
      <c r="E76" s="51">
        <v>18.562013</v>
      </c>
      <c r="F76" s="51">
        <v>21.418765</v>
      </c>
      <c r="G76" s="52" t="s">
        <v>30</v>
      </c>
    </row>
    <row r="77" spans="1:7" x14ac:dyDescent="0.2">
      <c r="A77" s="50"/>
      <c r="B77" s="50" t="s">
        <v>323</v>
      </c>
      <c r="C77" s="51">
        <v>17.526465999999999</v>
      </c>
      <c r="D77" s="51">
        <v>16.811917999999999</v>
      </c>
      <c r="E77" s="51">
        <v>15.434328000000001</v>
      </c>
      <c r="F77" s="51">
        <v>17.845707000000001</v>
      </c>
      <c r="G77" s="52" t="s">
        <v>30</v>
      </c>
    </row>
    <row r="78" spans="1:7" x14ac:dyDescent="0.2">
      <c r="A78" s="50"/>
      <c r="B78" s="50" t="s">
        <v>324</v>
      </c>
      <c r="C78" s="51">
        <v>18.615822999999999</v>
      </c>
      <c r="D78" s="51">
        <v>16.900009000000001</v>
      </c>
      <c r="E78" s="51">
        <v>17.862110999999999</v>
      </c>
      <c r="F78" s="51">
        <v>21.338334</v>
      </c>
      <c r="G78" s="52" t="s">
        <v>30</v>
      </c>
    </row>
    <row r="79" spans="1:7" x14ac:dyDescent="0.2">
      <c r="A79" s="44"/>
      <c r="B79" s="47"/>
      <c r="C79" s="47"/>
      <c r="D79" s="47"/>
      <c r="E79" s="47"/>
      <c r="F79" s="47"/>
      <c r="G79" s="47"/>
    </row>
    <row r="80" spans="1:7" x14ac:dyDescent="0.2">
      <c r="A80" s="44" t="s">
        <v>336</v>
      </c>
      <c r="B80" s="47" t="s">
        <v>321</v>
      </c>
      <c r="C80" s="48">
        <v>14.242575540983607</v>
      </c>
      <c r="D80" s="48">
        <v>13.288813532258064</v>
      </c>
      <c r="E80" s="48">
        <v>12.186293725806452</v>
      </c>
      <c r="F80" s="48">
        <v>15.0922924</v>
      </c>
      <c r="G80" s="49" t="s">
        <v>30</v>
      </c>
    </row>
    <row r="81" spans="1:7" x14ac:dyDescent="0.2">
      <c r="A81" s="50"/>
      <c r="B81" s="50" t="s">
        <v>322</v>
      </c>
      <c r="C81" s="51">
        <v>17.937054</v>
      </c>
      <c r="D81" s="51">
        <v>14.486382000000001</v>
      </c>
      <c r="E81" s="51">
        <v>14.266175</v>
      </c>
      <c r="F81" s="51">
        <v>16.640208999999999</v>
      </c>
      <c r="G81" s="52" t="s">
        <v>30</v>
      </c>
    </row>
    <row r="82" spans="1:7" x14ac:dyDescent="0.2">
      <c r="A82" s="50"/>
      <c r="B82" s="50" t="s">
        <v>323</v>
      </c>
      <c r="C82" s="51">
        <v>12.364568999999999</v>
      </c>
      <c r="D82" s="51">
        <v>11.900191</v>
      </c>
      <c r="E82" s="51">
        <v>10.653846</v>
      </c>
      <c r="F82" s="51">
        <v>13.438876</v>
      </c>
      <c r="G82" s="52" t="s">
        <v>30</v>
      </c>
    </row>
    <row r="83" spans="1:7" x14ac:dyDescent="0.2">
      <c r="A83" s="50"/>
      <c r="B83" s="50" t="s">
        <v>324</v>
      </c>
      <c r="C83" s="51">
        <v>13.629363</v>
      </c>
      <c r="D83" s="51">
        <v>12.002542999999999</v>
      </c>
      <c r="E83" s="51">
        <v>13.457822</v>
      </c>
      <c r="F83" s="51">
        <v>16.544038</v>
      </c>
      <c r="G83" s="52" t="s">
        <v>30</v>
      </c>
    </row>
    <row r="84" spans="1:7" x14ac:dyDescent="0.2">
      <c r="A84" s="44"/>
      <c r="B84" s="47"/>
      <c r="C84" s="47"/>
      <c r="D84" s="47"/>
      <c r="E84" s="47"/>
      <c r="F84" s="47"/>
      <c r="G84" s="47"/>
    </row>
    <row r="85" spans="1:7" x14ac:dyDescent="0.2">
      <c r="A85" s="53" t="s">
        <v>337</v>
      </c>
    </row>
    <row r="87" spans="1:7" x14ac:dyDescent="0.2">
      <c r="A87" s="53" t="s">
        <v>338</v>
      </c>
    </row>
    <row r="91" spans="1:7" ht="25.05" customHeight="1" x14ac:dyDescent="0.2">
      <c r="A91" s="54" t="s">
        <v>339</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42"/>
  <sheetViews>
    <sheetView workbookViewId="0"/>
    <sheetView workbookViewId="1"/>
    <sheetView workbookViewId="2"/>
  </sheetViews>
  <sheetFormatPr defaultRowHeight="10.199999999999999" x14ac:dyDescent="0.2"/>
  <cols>
    <col min="1" max="1" width="45.77734375" customWidth="1"/>
    <col min="2" max="7" width="14.77734375" customWidth="1"/>
    <col min="8" max="8" width="9.21875" customWidth="1"/>
  </cols>
  <sheetData>
    <row r="5" spans="1:255" ht="16.2" x14ac:dyDescent="0.25">
      <c r="A5" s="1" t="s">
        <v>340</v>
      </c>
    </row>
    <row r="7" spans="1:255" x14ac:dyDescent="0.2">
      <c r="A7" s="2" t="s">
        <v>341</v>
      </c>
      <c r="B7" s="3" t="s">
        <v>342</v>
      </c>
      <c r="C7" t="s">
        <v>314</v>
      </c>
      <c r="D7" s="4" t="s">
        <v>4</v>
      </c>
      <c r="E7" s="3" t="s">
        <v>343</v>
      </c>
      <c r="F7" t="s">
        <v>8</v>
      </c>
    </row>
    <row r="8" spans="1:255" x14ac:dyDescent="0.2">
      <c r="A8" s="4"/>
      <c r="B8" s="3" t="s">
        <v>344</v>
      </c>
      <c r="C8" t="s">
        <v>3</v>
      </c>
      <c r="D8" s="4" t="s">
        <v>4</v>
      </c>
      <c r="E8" s="3" t="s">
        <v>345</v>
      </c>
      <c r="F8" t="s">
        <v>6</v>
      </c>
    </row>
    <row r="9" spans="1:255" x14ac:dyDescent="0.2">
      <c r="A9" s="4"/>
      <c r="B9" s="3" t="s">
        <v>346</v>
      </c>
      <c r="C9" t="s">
        <v>10</v>
      </c>
      <c r="D9" s="4" t="s">
        <v>4</v>
      </c>
      <c r="E9" s="3" t="s">
        <v>347</v>
      </c>
      <c r="F9" s="5" t="s">
        <v>12</v>
      </c>
    </row>
    <row r="10" spans="1:255" x14ac:dyDescent="0.2">
      <c r="A10" s="4"/>
      <c r="B10" s="3" t="s">
        <v>348</v>
      </c>
      <c r="C10" t="s">
        <v>14</v>
      </c>
      <c r="D10" s="4" t="s">
        <v>4</v>
      </c>
      <c r="E10" s="27"/>
      <c r="F10" s="27"/>
    </row>
    <row r="13" spans="1:255" x14ac:dyDescent="0.2">
      <c r="A13" s="6" t="s">
        <v>349</v>
      </c>
      <c r="B13" s="6"/>
      <c r="C13" s="6"/>
      <c r="D13" s="6"/>
      <c r="E13" s="6"/>
      <c r="F13" s="6"/>
      <c r="G13" s="6"/>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75"/>
      <c r="EC13" s="75"/>
      <c r="ED13" s="75"/>
      <c r="EE13" s="75"/>
      <c r="EF13" s="75"/>
      <c r="EG13" s="75"/>
      <c r="EH13" s="75"/>
      <c r="EI13" s="75"/>
      <c r="EJ13" s="75"/>
      <c r="EK13" s="75"/>
      <c r="EL13" s="75"/>
      <c r="EM13" s="75"/>
      <c r="EN13" s="75"/>
      <c r="EO13" s="75"/>
      <c r="EP13" s="75"/>
      <c r="EQ13" s="75"/>
      <c r="ER13" s="75"/>
      <c r="ES13" s="75"/>
      <c r="ET13" s="75"/>
      <c r="EU13" s="75"/>
      <c r="EV13" s="75"/>
      <c r="EW13" s="75"/>
      <c r="EX13" s="75"/>
      <c r="EY13" s="75"/>
      <c r="EZ13" s="75"/>
      <c r="FA13" s="75"/>
      <c r="FB13" s="75"/>
      <c r="FC13" s="75"/>
      <c r="FD13" s="75"/>
      <c r="FE13" s="75"/>
      <c r="FF13" s="75"/>
      <c r="FG13" s="75"/>
      <c r="FH13" s="75"/>
      <c r="FI13" s="75"/>
      <c r="FJ13" s="75"/>
      <c r="FK13" s="75"/>
      <c r="FL13" s="75"/>
      <c r="FM13" s="75"/>
      <c r="FN13" s="75"/>
      <c r="FO13" s="75"/>
      <c r="FP13" s="75"/>
      <c r="FQ13" s="75"/>
      <c r="FR13" s="75"/>
      <c r="FS13" s="75"/>
      <c r="FT13" s="75"/>
      <c r="FU13" s="75"/>
      <c r="FV13" s="75"/>
      <c r="FW13" s="75"/>
      <c r="FX13" s="75"/>
      <c r="FY13" s="75"/>
      <c r="FZ13" s="75"/>
      <c r="GA13" s="75"/>
      <c r="GB13" s="75"/>
      <c r="GC13" s="75"/>
      <c r="GD13" s="75"/>
      <c r="GE13" s="75"/>
      <c r="GF13" s="75"/>
      <c r="GG13" s="75"/>
      <c r="GH13" s="75"/>
      <c r="GI13" s="75"/>
      <c r="GJ13" s="75"/>
      <c r="GK13" s="75"/>
      <c r="GL13" s="75"/>
      <c r="GM13" s="75"/>
      <c r="GN13" s="75"/>
      <c r="GO13" s="75"/>
      <c r="GP13" s="75"/>
      <c r="GQ13" s="75"/>
      <c r="GR13" s="75"/>
      <c r="GS13" s="75"/>
      <c r="GT13" s="75"/>
      <c r="GU13" s="75"/>
      <c r="GV13" s="75"/>
      <c r="GW13" s="75"/>
      <c r="GX13" s="75"/>
      <c r="GY13" s="75"/>
      <c r="GZ13" s="75"/>
      <c r="HA13" s="75"/>
      <c r="HB13" s="75"/>
      <c r="HC13" s="75"/>
      <c r="HD13" s="75"/>
      <c r="HE13" s="75"/>
      <c r="HF13" s="75"/>
      <c r="HG13" s="75"/>
      <c r="HH13" s="75"/>
      <c r="HI13" s="75"/>
      <c r="HJ13" s="75"/>
      <c r="HK13" s="75"/>
      <c r="HL13" s="75"/>
      <c r="HM13" s="75"/>
      <c r="HN13" s="75"/>
      <c r="HO13" s="75"/>
      <c r="HP13" s="75"/>
      <c r="HQ13" s="75"/>
      <c r="HR13" s="75"/>
      <c r="HS13" s="75"/>
      <c r="HT13" s="75"/>
      <c r="HU13" s="75"/>
      <c r="HV13" s="75"/>
      <c r="HW13" s="75"/>
      <c r="HX13" s="75"/>
      <c r="HY13" s="75"/>
      <c r="HZ13" s="75"/>
      <c r="IA13" s="75"/>
      <c r="IB13" s="75"/>
      <c r="IC13" s="75"/>
      <c r="ID13" s="75"/>
      <c r="IE13" s="75"/>
      <c r="IF13" s="75"/>
      <c r="IG13" s="75"/>
      <c r="IH13" s="75"/>
      <c r="II13" s="75"/>
      <c r="IJ13" s="75"/>
      <c r="IK13" s="75"/>
      <c r="IL13" s="75"/>
      <c r="IM13" s="75"/>
      <c r="IN13" s="75"/>
      <c r="IO13" s="75"/>
      <c r="IP13" s="75"/>
      <c r="IQ13" s="75"/>
      <c r="IR13" s="75"/>
      <c r="IS13" s="75"/>
      <c r="IT13" s="75"/>
      <c r="IU13" s="75"/>
    </row>
    <row r="14" spans="1:255" ht="20.399999999999999" x14ac:dyDescent="0.2">
      <c r="A14" s="7" t="s">
        <v>186</v>
      </c>
      <c r="B14" s="36">
        <v>44834</v>
      </c>
      <c r="C14" s="36">
        <v>44926</v>
      </c>
      <c r="D14" s="36">
        <v>45016</v>
      </c>
      <c r="E14" s="36">
        <v>45107</v>
      </c>
      <c r="F14" s="36">
        <v>45199</v>
      </c>
      <c r="G14" s="36">
        <v>45291</v>
      </c>
    </row>
    <row r="15" spans="1:255" x14ac:dyDescent="0.2">
      <c r="A15" s="7" t="s">
        <v>350</v>
      </c>
      <c r="B15" s="36">
        <v>44862</v>
      </c>
      <c r="C15" s="36">
        <v>44981</v>
      </c>
      <c r="D15" s="36">
        <v>45044</v>
      </c>
      <c r="E15" s="36">
        <v>45135</v>
      </c>
      <c r="F15" s="36">
        <v>45226</v>
      </c>
      <c r="G15" s="36">
        <v>45348</v>
      </c>
    </row>
    <row r="16" spans="1:255" x14ac:dyDescent="0.2">
      <c r="A16" s="8" t="s">
        <v>25</v>
      </c>
      <c r="B16" s="14" t="s">
        <v>26</v>
      </c>
      <c r="C16" s="14" t="s">
        <v>26</v>
      </c>
      <c r="D16" s="14" t="s">
        <v>26</v>
      </c>
      <c r="E16" s="14" t="s">
        <v>26</v>
      </c>
      <c r="F16" s="14" t="s">
        <v>26</v>
      </c>
      <c r="G16" s="14" t="s">
        <v>26</v>
      </c>
    </row>
    <row r="17" spans="1:7" x14ac:dyDescent="0.2">
      <c r="A17" s="9" t="s">
        <v>351</v>
      </c>
      <c r="B17" s="11"/>
      <c r="C17" s="11"/>
      <c r="D17" s="11"/>
      <c r="E17" s="11"/>
      <c r="F17" s="11"/>
      <c r="G17" s="11"/>
    </row>
    <row r="18" spans="1:7" x14ac:dyDescent="0.2">
      <c r="A18" s="11" t="s">
        <v>49</v>
      </c>
      <c r="B18" s="22">
        <v>21.11</v>
      </c>
      <c r="C18" s="22">
        <v>20.64</v>
      </c>
      <c r="D18" s="22">
        <v>19.190000000000001</v>
      </c>
      <c r="E18" s="22">
        <v>20.18</v>
      </c>
      <c r="F18" s="22">
        <v>16.87</v>
      </c>
      <c r="G18" s="22">
        <v>19.28</v>
      </c>
    </row>
    <row r="19" spans="1:7" x14ac:dyDescent="0.2">
      <c r="A19" s="11" t="s">
        <v>50</v>
      </c>
      <c r="B19" s="19">
        <v>618.46082899999999</v>
      </c>
      <c r="C19" s="19">
        <v>618.60934699999996</v>
      </c>
      <c r="D19" s="19">
        <v>619.89180899999997</v>
      </c>
      <c r="E19" s="19">
        <v>619.88307399999997</v>
      </c>
      <c r="F19" s="19">
        <v>619.87417000000005</v>
      </c>
      <c r="G19" s="19">
        <v>672.90448000000004</v>
      </c>
    </row>
    <row r="20" spans="1:7" x14ac:dyDescent="0.2">
      <c r="A20" s="11"/>
      <c r="B20" s="11"/>
      <c r="C20" s="11"/>
      <c r="D20" s="11"/>
      <c r="E20" s="11"/>
      <c r="F20" s="11"/>
      <c r="G20" s="11"/>
    </row>
    <row r="21" spans="1:7" x14ac:dyDescent="0.2">
      <c r="A21" s="9" t="s">
        <v>51</v>
      </c>
      <c r="B21" s="15">
        <v>13055.7081</v>
      </c>
      <c r="C21" s="15">
        <v>12768.096922000001</v>
      </c>
      <c r="D21" s="15">
        <v>11895.723814000001</v>
      </c>
      <c r="E21" s="15">
        <v>12509.240433000001</v>
      </c>
      <c r="F21" s="15">
        <v>10457.277247</v>
      </c>
      <c r="G21" s="15">
        <v>12973.598373999999</v>
      </c>
    </row>
    <row r="22" spans="1:7" x14ac:dyDescent="0.2">
      <c r="A22" s="11" t="s">
        <v>52</v>
      </c>
      <c r="B22" s="19">
        <v>123.53100000000001</v>
      </c>
      <c r="C22" s="19">
        <v>149.82900000000001</v>
      </c>
      <c r="D22" s="19">
        <v>329.17700000000002</v>
      </c>
      <c r="E22" s="19">
        <v>536.47699999999998</v>
      </c>
      <c r="F22" s="19">
        <v>424.262</v>
      </c>
      <c r="G22" s="19">
        <v>783.75699999999995</v>
      </c>
    </row>
    <row r="23" spans="1:7" x14ac:dyDescent="0.2">
      <c r="A23" s="11" t="s">
        <v>53</v>
      </c>
      <c r="B23" s="19">
        <v>7325.0439999999999</v>
      </c>
      <c r="C23" s="19">
        <v>7293.59</v>
      </c>
      <c r="D23" s="19">
        <v>7264.7479999999996</v>
      </c>
      <c r="E23" s="19">
        <v>7245.8180000000002</v>
      </c>
      <c r="F23" s="19">
        <v>7238.8339999999998</v>
      </c>
      <c r="G23" s="19">
        <v>7751.2129999999997</v>
      </c>
    </row>
    <row r="24" spans="1:7" x14ac:dyDescent="0.2">
      <c r="A24" s="11" t="s">
        <v>54</v>
      </c>
      <c r="B24" s="19">
        <v>1.9E-2</v>
      </c>
      <c r="C24" s="19">
        <v>1.9E-2</v>
      </c>
      <c r="D24" s="19">
        <v>1.9E-2</v>
      </c>
      <c r="E24" s="19">
        <v>1.9E-2</v>
      </c>
      <c r="F24" s="19">
        <v>1.9E-2</v>
      </c>
      <c r="G24" s="19">
        <v>1.9E-2</v>
      </c>
    </row>
    <row r="25" spans="1:7" x14ac:dyDescent="0.2">
      <c r="A25" s="11" t="s">
        <v>55</v>
      </c>
      <c r="B25" s="19">
        <v>150.054</v>
      </c>
      <c r="C25" s="19">
        <v>224.334</v>
      </c>
      <c r="D25" s="19">
        <v>225.738</v>
      </c>
      <c r="E25" s="19">
        <v>225.24299999999999</v>
      </c>
      <c r="F25" s="19">
        <v>225.16399999999999</v>
      </c>
      <c r="G25" s="19">
        <v>200.27</v>
      </c>
    </row>
    <row r="26" spans="1:7" x14ac:dyDescent="0.2">
      <c r="A26" s="11" t="s">
        <v>56</v>
      </c>
      <c r="B26" s="19" t="s">
        <v>30</v>
      </c>
      <c r="C26" s="19" t="s">
        <v>30</v>
      </c>
      <c r="D26" s="19" t="s">
        <v>30</v>
      </c>
      <c r="E26" s="19" t="s">
        <v>30</v>
      </c>
      <c r="F26" s="19" t="s">
        <v>30</v>
      </c>
      <c r="G26" s="19" t="s">
        <v>30</v>
      </c>
    </row>
    <row r="27" spans="1:7" x14ac:dyDescent="0.2">
      <c r="A27" s="9" t="s">
        <v>57</v>
      </c>
      <c r="B27" s="29">
        <v>20407.294099999999</v>
      </c>
      <c r="C27" s="29">
        <v>20136.210921999998</v>
      </c>
      <c r="D27" s="29">
        <v>19057.051813999999</v>
      </c>
      <c r="E27" s="29">
        <v>19443.843432999998</v>
      </c>
      <c r="F27" s="29">
        <v>17497.032246999999</v>
      </c>
      <c r="G27" s="29">
        <v>20141.343374</v>
      </c>
    </row>
    <row r="28" spans="1:7" x14ac:dyDescent="0.2">
      <c r="A28" s="11"/>
      <c r="B28" s="11"/>
      <c r="C28" s="11"/>
      <c r="D28" s="11"/>
      <c r="E28" s="11"/>
      <c r="F28" s="11"/>
      <c r="G28" s="11"/>
    </row>
    <row r="29" spans="1:7" x14ac:dyDescent="0.2">
      <c r="A29" s="11" t="s">
        <v>352</v>
      </c>
      <c r="B29" s="19">
        <v>619.11453700000004</v>
      </c>
      <c r="C29" s="19">
        <v>619.26305500000001</v>
      </c>
      <c r="D29" s="19">
        <v>620.54551700000002</v>
      </c>
      <c r="E29" s="19">
        <v>620.53678200000002</v>
      </c>
      <c r="F29" s="19">
        <v>620.52787799999999</v>
      </c>
      <c r="G29" s="19" t="s">
        <v>30</v>
      </c>
    </row>
    <row r="30" spans="1:7" x14ac:dyDescent="0.2">
      <c r="A30" s="9" t="s">
        <v>353</v>
      </c>
      <c r="B30" s="15">
        <v>13069.507876</v>
      </c>
      <c r="C30" s="15">
        <v>12781.589454999999</v>
      </c>
      <c r="D30" s="15">
        <v>11908.268470999999</v>
      </c>
      <c r="E30" s="15">
        <v>12522.43226</v>
      </c>
      <c r="F30" s="15">
        <v>10468.305301</v>
      </c>
      <c r="G30" s="15" t="s">
        <v>30</v>
      </c>
    </row>
    <row r="31" spans="1:7" x14ac:dyDescent="0.2">
      <c r="A31" s="11" t="s">
        <v>60</v>
      </c>
      <c r="B31" s="19">
        <v>9703.0450000000001</v>
      </c>
      <c r="C31" s="19">
        <v>9515.4889999999996</v>
      </c>
      <c r="D31" s="19">
        <v>9653.0830000000005</v>
      </c>
      <c r="E31" s="19">
        <v>9623.0789999999997</v>
      </c>
      <c r="F31" s="19">
        <v>9590.098</v>
      </c>
      <c r="G31" s="19">
        <v>9525.4459999999999</v>
      </c>
    </row>
    <row r="32" spans="1:7" x14ac:dyDescent="0.2">
      <c r="A32" s="11" t="s">
        <v>54</v>
      </c>
      <c r="B32" s="19">
        <v>1.9E-2</v>
      </c>
      <c r="C32" s="19">
        <v>1.9E-2</v>
      </c>
      <c r="D32" s="19">
        <v>1.9E-2</v>
      </c>
      <c r="E32" s="19">
        <v>1.9E-2</v>
      </c>
      <c r="F32" s="19">
        <v>1.9E-2</v>
      </c>
      <c r="G32" s="19">
        <v>1.9E-2</v>
      </c>
    </row>
    <row r="33" spans="1:7" x14ac:dyDescent="0.2">
      <c r="A33" s="11" t="s">
        <v>55</v>
      </c>
      <c r="B33" s="19">
        <v>150.054</v>
      </c>
      <c r="C33" s="19">
        <v>224.334</v>
      </c>
      <c r="D33" s="19">
        <v>225.738</v>
      </c>
      <c r="E33" s="19">
        <v>225.24299999999999</v>
      </c>
      <c r="F33" s="19">
        <v>225.16399999999999</v>
      </c>
      <c r="G33" s="19">
        <v>200.27</v>
      </c>
    </row>
    <row r="34" spans="1:7" x14ac:dyDescent="0.2">
      <c r="A34" s="11" t="s">
        <v>53</v>
      </c>
      <c r="B34" s="19">
        <v>7325.0439999999999</v>
      </c>
      <c r="C34" s="19">
        <v>7293.59</v>
      </c>
      <c r="D34" s="19">
        <v>7264.7479999999996</v>
      </c>
      <c r="E34" s="19">
        <v>7245.8180000000002</v>
      </c>
      <c r="F34" s="19">
        <v>7238.8339999999998</v>
      </c>
      <c r="G34" s="19">
        <v>7751.2129999999997</v>
      </c>
    </row>
    <row r="35" spans="1:7" x14ac:dyDescent="0.2">
      <c r="A35" s="9" t="s">
        <v>61</v>
      </c>
      <c r="B35" s="29">
        <v>17178.162</v>
      </c>
      <c r="C35" s="29">
        <v>17033.432000000001</v>
      </c>
      <c r="D35" s="29">
        <v>17143.588</v>
      </c>
      <c r="E35" s="29">
        <v>17094.159</v>
      </c>
      <c r="F35" s="29">
        <v>17054.115000000002</v>
      </c>
      <c r="G35" s="29">
        <v>17476.948</v>
      </c>
    </row>
    <row r="36" spans="1:7" x14ac:dyDescent="0.2">
      <c r="A36" s="11"/>
      <c r="B36" s="11"/>
      <c r="C36" s="11"/>
      <c r="D36" s="11"/>
      <c r="E36" s="11"/>
      <c r="F36" s="11"/>
      <c r="G36" s="11"/>
    </row>
    <row r="37" spans="1:7" x14ac:dyDescent="0.2">
      <c r="A37" s="12"/>
      <c r="B37" s="12"/>
      <c r="C37" s="12"/>
      <c r="D37" s="12"/>
      <c r="E37" s="12"/>
      <c r="F37" s="12"/>
      <c r="G37" s="12"/>
    </row>
    <row r="38" spans="1:7" ht="91.8" x14ac:dyDescent="0.2">
      <c r="A38" s="55" t="s">
        <v>354</v>
      </c>
    </row>
    <row r="39" spans="1:7" ht="61.2" x14ac:dyDescent="0.2">
      <c r="A39" s="55" t="s">
        <v>355</v>
      </c>
    </row>
    <row r="40" spans="1:7" ht="20.399999999999999" x14ac:dyDescent="0.2">
      <c r="A40" s="55" t="s">
        <v>356</v>
      </c>
    </row>
    <row r="42" spans="1:7" ht="25.05" customHeight="1" x14ac:dyDescent="0.2">
      <c r="A42" s="54" t="s">
        <v>339</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104"/>
  <sheetViews>
    <sheetView workbookViewId="0"/>
    <sheetView workbookViewId="1"/>
    <sheetView workbookViewId="2"/>
  </sheetViews>
  <sheetFormatPr defaultRowHeight="10.199999999999999" x14ac:dyDescent="0.2"/>
  <cols>
    <col min="1" max="1" width="45.77734375" customWidth="1"/>
    <col min="2" max="7" width="14.77734375" customWidth="1"/>
  </cols>
  <sheetData>
    <row r="5" spans="1:255" ht="16.2" x14ac:dyDescent="0.25">
      <c r="A5" s="1" t="s">
        <v>357</v>
      </c>
    </row>
    <row r="7" spans="1:255" ht="20.399999999999999" x14ac:dyDescent="0.2">
      <c r="A7" s="2" t="s">
        <v>358</v>
      </c>
      <c r="B7" s="3" t="s">
        <v>359</v>
      </c>
      <c r="C7" t="s">
        <v>82</v>
      </c>
      <c r="D7" s="4" t="s">
        <v>4</v>
      </c>
      <c r="E7" s="3" t="s">
        <v>360</v>
      </c>
      <c r="F7" t="s">
        <v>84</v>
      </c>
    </row>
    <row r="8" spans="1:255" x14ac:dyDescent="0.2">
      <c r="A8" s="4"/>
      <c r="B8" s="3" t="s">
        <v>361</v>
      </c>
      <c r="C8" t="s">
        <v>87</v>
      </c>
      <c r="D8" s="4" t="s">
        <v>4</v>
      </c>
      <c r="E8" s="3" t="s">
        <v>362</v>
      </c>
      <c r="F8" t="s">
        <v>6</v>
      </c>
    </row>
    <row r="9" spans="1:255" x14ac:dyDescent="0.2">
      <c r="A9" s="4"/>
      <c r="B9" s="3" t="s">
        <v>363</v>
      </c>
      <c r="C9" t="s">
        <v>10</v>
      </c>
      <c r="D9" s="4" t="s">
        <v>4</v>
      </c>
      <c r="E9" s="3" t="s">
        <v>364</v>
      </c>
      <c r="F9" s="5" t="s">
        <v>12</v>
      </c>
    </row>
    <row r="10" spans="1:255" x14ac:dyDescent="0.2">
      <c r="A10" s="4"/>
      <c r="B10" s="3" t="s">
        <v>365</v>
      </c>
      <c r="C10" t="s">
        <v>8</v>
      </c>
      <c r="D10" s="4" t="s">
        <v>4</v>
      </c>
      <c r="E10" s="27"/>
      <c r="F10" s="27"/>
    </row>
    <row r="13" spans="1:255" x14ac:dyDescent="0.2">
      <c r="A13" s="6" t="s">
        <v>366</v>
      </c>
      <c r="B13" s="6"/>
      <c r="C13" s="6"/>
      <c r="D13" s="6"/>
      <c r="E13" s="6"/>
      <c r="F13" s="6"/>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75"/>
      <c r="EC13" s="75"/>
      <c r="ED13" s="75"/>
      <c r="EE13" s="75"/>
      <c r="EF13" s="75"/>
      <c r="EG13" s="75"/>
      <c r="EH13" s="75"/>
      <c r="EI13" s="75"/>
      <c r="EJ13" s="75"/>
      <c r="EK13" s="75"/>
      <c r="EL13" s="75"/>
      <c r="EM13" s="75"/>
      <c r="EN13" s="75"/>
      <c r="EO13" s="75"/>
      <c r="EP13" s="75"/>
      <c r="EQ13" s="75"/>
      <c r="ER13" s="75"/>
      <c r="ES13" s="75"/>
      <c r="ET13" s="75"/>
      <c r="EU13" s="75"/>
      <c r="EV13" s="75"/>
      <c r="EW13" s="75"/>
      <c r="EX13" s="75"/>
      <c r="EY13" s="75"/>
      <c r="EZ13" s="75"/>
      <c r="FA13" s="75"/>
      <c r="FB13" s="75"/>
      <c r="FC13" s="75"/>
      <c r="FD13" s="75"/>
      <c r="FE13" s="75"/>
      <c r="FF13" s="75"/>
      <c r="FG13" s="75"/>
      <c r="FH13" s="75"/>
      <c r="FI13" s="75"/>
      <c r="FJ13" s="75"/>
      <c r="FK13" s="75"/>
      <c r="FL13" s="75"/>
      <c r="FM13" s="75"/>
      <c r="FN13" s="75"/>
      <c r="FO13" s="75"/>
      <c r="FP13" s="75"/>
      <c r="FQ13" s="75"/>
      <c r="FR13" s="75"/>
      <c r="FS13" s="75"/>
      <c r="FT13" s="75"/>
      <c r="FU13" s="75"/>
      <c r="FV13" s="75"/>
      <c r="FW13" s="75"/>
      <c r="FX13" s="75"/>
      <c r="FY13" s="75"/>
      <c r="FZ13" s="75"/>
      <c r="GA13" s="75"/>
      <c r="GB13" s="75"/>
      <c r="GC13" s="75"/>
      <c r="GD13" s="75"/>
      <c r="GE13" s="75"/>
      <c r="GF13" s="75"/>
      <c r="GG13" s="75"/>
      <c r="GH13" s="75"/>
      <c r="GI13" s="75"/>
      <c r="GJ13" s="75"/>
      <c r="GK13" s="75"/>
      <c r="GL13" s="75"/>
      <c r="GM13" s="75"/>
      <c r="GN13" s="75"/>
      <c r="GO13" s="75"/>
      <c r="GP13" s="75"/>
      <c r="GQ13" s="75"/>
      <c r="GR13" s="75"/>
      <c r="GS13" s="75"/>
      <c r="GT13" s="75"/>
      <c r="GU13" s="75"/>
      <c r="GV13" s="75"/>
      <c r="GW13" s="75"/>
      <c r="GX13" s="75"/>
      <c r="GY13" s="75"/>
      <c r="GZ13" s="75"/>
      <c r="HA13" s="75"/>
      <c r="HB13" s="75"/>
      <c r="HC13" s="75"/>
      <c r="HD13" s="75"/>
      <c r="HE13" s="75"/>
      <c r="HF13" s="75"/>
      <c r="HG13" s="75"/>
      <c r="HH13" s="75"/>
      <c r="HI13" s="75"/>
      <c r="HJ13" s="75"/>
      <c r="HK13" s="75"/>
      <c r="HL13" s="75"/>
      <c r="HM13" s="75"/>
      <c r="HN13" s="75"/>
      <c r="HO13" s="75"/>
      <c r="HP13" s="75"/>
      <c r="HQ13" s="75"/>
      <c r="HR13" s="75"/>
      <c r="HS13" s="75"/>
      <c r="HT13" s="75"/>
      <c r="HU13" s="75"/>
      <c r="HV13" s="75"/>
      <c r="HW13" s="75"/>
      <c r="HX13" s="75"/>
      <c r="HY13" s="75"/>
      <c r="HZ13" s="75"/>
      <c r="IA13" s="75"/>
      <c r="IB13" s="75"/>
      <c r="IC13" s="75"/>
      <c r="ID13" s="75"/>
      <c r="IE13" s="75"/>
      <c r="IF13" s="75"/>
      <c r="IG13" s="75"/>
      <c r="IH13" s="75"/>
      <c r="II13" s="75"/>
      <c r="IJ13" s="75"/>
      <c r="IK13" s="75"/>
      <c r="IL13" s="75"/>
      <c r="IM13" s="75"/>
      <c r="IN13" s="75"/>
      <c r="IO13" s="75"/>
      <c r="IP13" s="75"/>
      <c r="IQ13" s="75"/>
      <c r="IR13" s="75"/>
      <c r="IS13" s="75"/>
      <c r="IT13" s="75"/>
      <c r="IU13" s="75"/>
    </row>
    <row r="14" spans="1:255" ht="20.399999999999999" x14ac:dyDescent="0.2">
      <c r="A14" s="7" t="s">
        <v>367</v>
      </c>
      <c r="B14" s="97" t="s">
        <v>368</v>
      </c>
      <c r="C14" s="98"/>
      <c r="D14" s="97" t="s">
        <v>369</v>
      </c>
      <c r="E14" s="99"/>
      <c r="F14" s="100" t="s">
        <v>370</v>
      </c>
      <c r="G14" s="99"/>
    </row>
    <row r="15" spans="1:255" x14ac:dyDescent="0.2">
      <c r="A15" s="8" t="s">
        <v>371</v>
      </c>
      <c r="B15" s="14" t="s">
        <v>372</v>
      </c>
      <c r="C15" s="14"/>
      <c r="D15" s="14" t="s">
        <v>372</v>
      </c>
      <c r="E15" s="58"/>
      <c r="F15" s="58" t="s">
        <v>372</v>
      </c>
      <c r="G15" s="58"/>
    </row>
    <row r="16" spans="1:255" x14ac:dyDescent="0.2">
      <c r="A16" s="7" t="s">
        <v>373</v>
      </c>
      <c r="B16" s="13" t="s">
        <v>374</v>
      </c>
      <c r="C16" s="13" t="s">
        <v>375</v>
      </c>
      <c r="D16" s="13" t="s">
        <v>374</v>
      </c>
      <c r="E16" s="59" t="s">
        <v>375</v>
      </c>
      <c r="F16" s="59" t="s">
        <v>374</v>
      </c>
      <c r="G16" s="59" t="s">
        <v>375</v>
      </c>
    </row>
    <row r="17" spans="1:255" x14ac:dyDescent="0.2">
      <c r="A17" s="9" t="s">
        <v>39</v>
      </c>
      <c r="B17" s="11"/>
      <c r="C17" s="56"/>
      <c r="D17" s="11"/>
      <c r="F17" s="53"/>
    </row>
    <row r="18" spans="1:255" x14ac:dyDescent="0.2">
      <c r="A18" s="11" t="s">
        <v>235</v>
      </c>
      <c r="B18" s="19">
        <v>7599.4809999999998</v>
      </c>
      <c r="C18" s="16">
        <v>0.42878856193800002</v>
      </c>
      <c r="D18" s="19">
        <v>7271.5649999999996</v>
      </c>
      <c r="E18" s="60">
        <v>0.42745229715600003</v>
      </c>
      <c r="F18" s="62">
        <v>7751.2129999999997</v>
      </c>
      <c r="G18" s="60">
        <v>0.44351067474700001</v>
      </c>
    </row>
    <row r="19" spans="1:255" x14ac:dyDescent="0.2">
      <c r="A19" s="11" t="s">
        <v>376</v>
      </c>
      <c r="B19" s="19">
        <v>9899.3690000000006</v>
      </c>
      <c r="C19" s="16">
        <v>0.55855606423799997</v>
      </c>
      <c r="D19" s="19">
        <v>9515.4889999999996</v>
      </c>
      <c r="E19" s="60">
        <v>0.55935931695700003</v>
      </c>
      <c r="F19" s="62">
        <v>9525.4459999999999</v>
      </c>
      <c r="G19" s="60">
        <v>0.54502914353200005</v>
      </c>
    </row>
    <row r="20" spans="1:255" x14ac:dyDescent="0.2">
      <c r="A20" s="11" t="s">
        <v>377</v>
      </c>
      <c r="B20" s="19">
        <v>0.02</v>
      </c>
      <c r="C20" s="16">
        <v>1.128468E-6</v>
      </c>
      <c r="D20" s="19">
        <v>1.9E-2</v>
      </c>
      <c r="E20" s="60">
        <v>1.116898E-6</v>
      </c>
      <c r="F20" s="62">
        <v>1.9E-2</v>
      </c>
      <c r="G20" s="60">
        <v>1.0871459999999999E-6</v>
      </c>
    </row>
    <row r="21" spans="1:255" x14ac:dyDescent="0.2">
      <c r="A21" s="11" t="s">
        <v>239</v>
      </c>
      <c r="B21" s="19">
        <v>224.273</v>
      </c>
      <c r="C21" s="16">
        <v>1.2654245356E-2</v>
      </c>
      <c r="D21" s="19">
        <v>224.334</v>
      </c>
      <c r="E21" s="60">
        <v>1.3187268990000001E-2</v>
      </c>
      <c r="F21" s="62">
        <v>200.27</v>
      </c>
      <c r="G21" s="60">
        <v>1.1459094574E-2</v>
      </c>
    </row>
    <row r="22" spans="1:255" x14ac:dyDescent="0.2">
      <c r="A22" s="9" t="s">
        <v>378</v>
      </c>
      <c r="B22" s="15">
        <v>17723.143</v>
      </c>
      <c r="C22" s="57">
        <v>1</v>
      </c>
      <c r="D22" s="15">
        <v>17011.406999999999</v>
      </c>
      <c r="E22" s="61">
        <v>1</v>
      </c>
      <c r="F22" s="63">
        <v>17476.948</v>
      </c>
      <c r="G22" s="61">
        <v>1</v>
      </c>
    </row>
    <row r="23" spans="1:255" x14ac:dyDescent="0.2">
      <c r="A23" s="11"/>
      <c r="B23" s="11"/>
      <c r="C23" s="56"/>
      <c r="D23" s="11"/>
      <c r="F23" s="53"/>
    </row>
    <row r="24" spans="1:255" x14ac:dyDescent="0.2">
      <c r="A24" s="12"/>
      <c r="B24" s="12"/>
      <c r="C24" s="12"/>
      <c r="D24" s="12"/>
    </row>
    <row r="26" spans="1:255" x14ac:dyDescent="0.2">
      <c r="A26" s="6" t="s">
        <v>379</v>
      </c>
      <c r="B26" s="6"/>
      <c r="C26" s="6"/>
      <c r="D26" s="6"/>
      <c r="E26" s="6"/>
      <c r="F26" s="6"/>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5"/>
      <c r="DN26" s="75"/>
      <c r="DO26" s="75"/>
      <c r="DP26" s="75"/>
      <c r="DQ26" s="75"/>
      <c r="DR26" s="75"/>
      <c r="DS26" s="75"/>
      <c r="DT26" s="75"/>
      <c r="DU26" s="75"/>
      <c r="DV26" s="75"/>
      <c r="DW26" s="75"/>
      <c r="DX26" s="75"/>
      <c r="DY26" s="75"/>
      <c r="DZ26" s="75"/>
      <c r="EA26" s="75"/>
      <c r="EB26" s="75"/>
      <c r="EC26" s="75"/>
      <c r="ED26" s="75"/>
      <c r="EE26" s="75"/>
      <c r="EF26" s="75"/>
      <c r="EG26" s="75"/>
      <c r="EH26" s="75"/>
      <c r="EI26" s="75"/>
      <c r="EJ26" s="75"/>
      <c r="EK26" s="75"/>
      <c r="EL26" s="75"/>
      <c r="EM26" s="75"/>
      <c r="EN26" s="75"/>
      <c r="EO26" s="75"/>
      <c r="EP26" s="75"/>
      <c r="EQ26" s="75"/>
      <c r="ER26" s="75"/>
      <c r="ES26" s="75"/>
      <c r="ET26" s="75"/>
      <c r="EU26" s="75"/>
      <c r="EV26" s="75"/>
      <c r="EW26" s="75"/>
      <c r="EX26" s="75"/>
      <c r="EY26" s="75"/>
      <c r="EZ26" s="75"/>
      <c r="FA26" s="75"/>
      <c r="FB26" s="75"/>
      <c r="FC26" s="75"/>
      <c r="FD26" s="75"/>
      <c r="FE26" s="75"/>
      <c r="FF26" s="75"/>
      <c r="FG26" s="75"/>
      <c r="FH26" s="75"/>
      <c r="FI26" s="75"/>
      <c r="FJ26" s="75"/>
      <c r="FK26" s="75"/>
      <c r="FL26" s="75"/>
      <c r="FM26" s="75"/>
      <c r="FN26" s="75"/>
      <c r="FO26" s="75"/>
      <c r="FP26" s="75"/>
      <c r="FQ26" s="75"/>
      <c r="FR26" s="75"/>
      <c r="FS26" s="75"/>
      <c r="FT26" s="75"/>
      <c r="FU26" s="75"/>
      <c r="FV26" s="75"/>
      <c r="FW26" s="75"/>
      <c r="FX26" s="75"/>
      <c r="FY26" s="75"/>
      <c r="FZ26" s="75"/>
      <c r="GA26" s="75"/>
      <c r="GB26" s="75"/>
      <c r="GC26" s="75"/>
      <c r="GD26" s="75"/>
      <c r="GE26" s="75"/>
      <c r="GF26" s="75"/>
      <c r="GG26" s="75"/>
      <c r="GH26" s="75"/>
      <c r="GI26" s="75"/>
      <c r="GJ26" s="75"/>
      <c r="GK26" s="75"/>
      <c r="GL26" s="75"/>
      <c r="GM26" s="75"/>
      <c r="GN26" s="75"/>
      <c r="GO26" s="75"/>
      <c r="GP26" s="75"/>
      <c r="GQ26" s="75"/>
      <c r="GR26" s="75"/>
      <c r="GS26" s="75"/>
      <c r="GT26" s="75"/>
      <c r="GU26" s="75"/>
      <c r="GV26" s="75"/>
      <c r="GW26" s="75"/>
      <c r="GX26" s="75"/>
      <c r="GY26" s="75"/>
      <c r="GZ26" s="75"/>
      <c r="HA26" s="75"/>
      <c r="HB26" s="75"/>
      <c r="HC26" s="75"/>
      <c r="HD26" s="75"/>
      <c r="HE26" s="75"/>
      <c r="HF26" s="75"/>
      <c r="HG26" s="75"/>
      <c r="HH26" s="75"/>
      <c r="HI26" s="75"/>
      <c r="HJ26" s="75"/>
      <c r="HK26" s="75"/>
      <c r="HL26" s="75"/>
      <c r="HM26" s="75"/>
      <c r="HN26" s="75"/>
      <c r="HO26" s="75"/>
      <c r="HP26" s="75"/>
      <c r="HQ26" s="75"/>
      <c r="HR26" s="75"/>
      <c r="HS26" s="75"/>
      <c r="HT26" s="75"/>
      <c r="HU26" s="75"/>
      <c r="HV26" s="75"/>
      <c r="HW26" s="75"/>
      <c r="HX26" s="75"/>
      <c r="HY26" s="75"/>
      <c r="HZ26" s="75"/>
      <c r="IA26" s="75"/>
      <c r="IB26" s="75"/>
      <c r="IC26" s="75"/>
      <c r="ID26" s="75"/>
      <c r="IE26" s="75"/>
      <c r="IF26" s="75"/>
      <c r="IG26" s="75"/>
      <c r="IH26" s="75"/>
      <c r="II26" s="75"/>
      <c r="IJ26" s="75"/>
      <c r="IK26" s="75"/>
      <c r="IL26" s="75"/>
      <c r="IM26" s="75"/>
      <c r="IN26" s="75"/>
      <c r="IO26" s="75"/>
      <c r="IP26" s="75"/>
      <c r="IQ26" s="75"/>
      <c r="IR26" s="75"/>
      <c r="IS26" s="75"/>
      <c r="IT26" s="75"/>
      <c r="IU26" s="75"/>
    </row>
    <row r="27" spans="1:255" ht="20.399999999999999" x14ac:dyDescent="0.2">
      <c r="A27" s="7" t="s">
        <v>367</v>
      </c>
      <c r="B27" s="97" t="s">
        <v>368</v>
      </c>
      <c r="C27" s="98"/>
      <c r="D27" s="97" t="s">
        <v>369</v>
      </c>
      <c r="E27" s="99"/>
      <c r="F27" s="100" t="s">
        <v>370</v>
      </c>
      <c r="G27" s="99"/>
    </row>
    <row r="28" spans="1:255" x14ac:dyDescent="0.2">
      <c r="A28" s="8" t="s">
        <v>371</v>
      </c>
      <c r="B28" s="14" t="s">
        <v>372</v>
      </c>
      <c r="C28" s="14"/>
      <c r="D28" s="14" t="s">
        <v>372</v>
      </c>
      <c r="E28" s="58"/>
      <c r="F28" s="58" t="s">
        <v>372</v>
      </c>
      <c r="G28" s="58"/>
    </row>
    <row r="29" spans="1:255" x14ac:dyDescent="0.2">
      <c r="A29" s="7" t="s">
        <v>373</v>
      </c>
      <c r="B29" s="13" t="s">
        <v>374</v>
      </c>
      <c r="C29" s="13" t="s">
        <v>375</v>
      </c>
      <c r="D29" s="13" t="s">
        <v>374</v>
      </c>
      <c r="E29" s="59" t="s">
        <v>375</v>
      </c>
      <c r="F29" s="59" t="s">
        <v>374</v>
      </c>
      <c r="G29" s="59" t="s">
        <v>375</v>
      </c>
    </row>
    <row r="30" spans="1:255" x14ac:dyDescent="0.2">
      <c r="A30" s="9" t="s">
        <v>39</v>
      </c>
      <c r="B30" s="11"/>
      <c r="C30" s="56"/>
      <c r="D30" s="11"/>
      <c r="F30" s="53"/>
    </row>
    <row r="31" spans="1:255" x14ac:dyDescent="0.2">
      <c r="A31" s="11" t="s">
        <v>380</v>
      </c>
      <c r="B31" s="19">
        <v>0</v>
      </c>
      <c r="C31" s="16">
        <v>0</v>
      </c>
      <c r="D31" s="19">
        <v>0</v>
      </c>
      <c r="E31" s="60">
        <v>0</v>
      </c>
      <c r="F31" s="62">
        <v>0</v>
      </c>
      <c r="G31" s="60">
        <v>0</v>
      </c>
    </row>
    <row r="32" spans="1:255" x14ac:dyDescent="0.2">
      <c r="A32" s="11" t="s">
        <v>381</v>
      </c>
      <c r="B32" s="19">
        <v>7539.2</v>
      </c>
      <c r="C32" s="16">
        <v>0.99206700000000003</v>
      </c>
      <c r="D32" s="19">
        <v>7182.3</v>
      </c>
      <c r="E32" s="60">
        <v>0.98772400000000005</v>
      </c>
      <c r="F32" s="62">
        <v>8170.2</v>
      </c>
      <c r="G32" s="60">
        <v>1.054054</v>
      </c>
    </row>
    <row r="33" spans="1:7" x14ac:dyDescent="0.2">
      <c r="A33" s="11" t="s">
        <v>382</v>
      </c>
      <c r="B33" s="19">
        <v>123.779</v>
      </c>
      <c r="C33" s="16">
        <v>1.6286999999999999E-2</v>
      </c>
      <c r="D33" s="19">
        <v>113.679</v>
      </c>
      <c r="E33" s="60">
        <v>1.5633000000000001E-2</v>
      </c>
      <c r="F33" s="62">
        <v>134.417</v>
      </c>
      <c r="G33" s="60">
        <v>1.7340999999999999E-2</v>
      </c>
    </row>
    <row r="34" spans="1:7" x14ac:dyDescent="0.2">
      <c r="A34" s="9" t="s">
        <v>383</v>
      </c>
      <c r="B34" s="15">
        <v>7662.9790000000003</v>
      </c>
      <c r="C34" s="57">
        <v>1.0083549999999999</v>
      </c>
      <c r="D34" s="15">
        <v>7295.9790000000003</v>
      </c>
      <c r="E34" s="61">
        <v>1.0033570000000001</v>
      </c>
      <c r="F34" s="63">
        <v>8304.6170000000002</v>
      </c>
      <c r="G34" s="61">
        <v>1.0713950000000001</v>
      </c>
    </row>
    <row r="35" spans="1:7" x14ac:dyDescent="0.2">
      <c r="A35" s="11"/>
      <c r="B35" s="11"/>
      <c r="C35" s="56"/>
      <c r="D35" s="11"/>
      <c r="F35" s="53"/>
    </row>
    <row r="36" spans="1:7" x14ac:dyDescent="0.2">
      <c r="A36" s="11" t="s">
        <v>384</v>
      </c>
      <c r="B36" s="19">
        <v>-63.5</v>
      </c>
      <c r="C36" s="16">
        <v>-8.3549999999999996E-3</v>
      </c>
      <c r="D36" s="19">
        <v>-24.4</v>
      </c>
      <c r="E36" s="60">
        <v>-3.3570000000000002E-3</v>
      </c>
      <c r="F36" s="62">
        <v>-553.4</v>
      </c>
      <c r="G36" s="60">
        <v>-7.1395E-2</v>
      </c>
    </row>
    <row r="37" spans="1:7" x14ac:dyDescent="0.2">
      <c r="A37" s="9" t="s">
        <v>385</v>
      </c>
      <c r="B37" s="15">
        <v>7599.4809999999998</v>
      </c>
      <c r="C37" s="57">
        <v>1</v>
      </c>
      <c r="D37" s="15">
        <v>7271.5649999999996</v>
      </c>
      <c r="E37" s="61">
        <v>1</v>
      </c>
      <c r="F37" s="63">
        <v>7751.2129999999997</v>
      </c>
      <c r="G37" s="61">
        <v>1</v>
      </c>
    </row>
    <row r="38" spans="1:7" x14ac:dyDescent="0.2">
      <c r="A38" s="11"/>
      <c r="B38" s="11"/>
      <c r="C38" s="56"/>
      <c r="D38" s="11"/>
      <c r="F38" s="53"/>
    </row>
    <row r="39" spans="1:7" x14ac:dyDescent="0.2">
      <c r="A39" s="9" t="s">
        <v>386</v>
      </c>
      <c r="B39" s="11"/>
      <c r="C39" s="56"/>
      <c r="D39" s="11"/>
      <c r="F39" s="53"/>
    </row>
    <row r="40" spans="1:7" x14ac:dyDescent="0.2">
      <c r="A40" s="11" t="s">
        <v>387</v>
      </c>
      <c r="B40" s="19" t="s">
        <v>30</v>
      </c>
      <c r="C40" s="16" t="s">
        <v>30</v>
      </c>
      <c r="D40" s="19" t="s">
        <v>30</v>
      </c>
      <c r="E40" s="60" t="s">
        <v>30</v>
      </c>
      <c r="F40" s="62">
        <v>2000</v>
      </c>
      <c r="G40" s="60" t="s">
        <v>30</v>
      </c>
    </row>
    <row r="41" spans="1:7" x14ac:dyDescent="0.2">
      <c r="A41" s="9" t="s">
        <v>388</v>
      </c>
      <c r="B41" s="15" t="s">
        <v>30</v>
      </c>
      <c r="C41" s="57" t="s">
        <v>30</v>
      </c>
      <c r="D41" s="15" t="s">
        <v>30</v>
      </c>
      <c r="E41" s="61" t="s">
        <v>30</v>
      </c>
      <c r="F41" s="63">
        <v>2000</v>
      </c>
      <c r="G41" s="61" t="s">
        <v>30</v>
      </c>
    </row>
    <row r="42" spans="1:7" x14ac:dyDescent="0.2">
      <c r="A42" s="11"/>
      <c r="B42" s="11"/>
      <c r="C42" s="56"/>
      <c r="D42" s="11"/>
      <c r="F42" s="53"/>
    </row>
    <row r="43" spans="1:7" x14ac:dyDescent="0.2">
      <c r="A43" s="9" t="s">
        <v>389</v>
      </c>
      <c r="B43" s="11"/>
      <c r="C43" s="56"/>
      <c r="D43" s="11"/>
      <c r="F43" s="53"/>
    </row>
    <row r="44" spans="1:7" x14ac:dyDescent="0.2">
      <c r="A44" s="11" t="s">
        <v>390</v>
      </c>
      <c r="B44" s="19">
        <v>334.66300000000001</v>
      </c>
      <c r="C44" s="16" t="s">
        <v>30</v>
      </c>
      <c r="D44" s="19">
        <v>149.82900000000001</v>
      </c>
      <c r="E44" s="60" t="s">
        <v>30</v>
      </c>
      <c r="F44" s="62">
        <v>783.75699999999995</v>
      </c>
      <c r="G44" s="60" t="s">
        <v>30</v>
      </c>
    </row>
    <row r="45" spans="1:7" x14ac:dyDescent="0.2">
      <c r="A45" s="11" t="s">
        <v>236</v>
      </c>
      <c r="B45" s="19">
        <v>7264.8180000000002</v>
      </c>
      <c r="C45" s="16" t="s">
        <v>30</v>
      </c>
      <c r="D45" s="19">
        <v>7121.7359999999999</v>
      </c>
      <c r="E45" s="60" t="s">
        <v>30</v>
      </c>
      <c r="F45" s="62">
        <v>6967.4560000000001</v>
      </c>
      <c r="G45" s="60" t="s">
        <v>30</v>
      </c>
    </row>
    <row r="46" spans="1:7" x14ac:dyDescent="0.2">
      <c r="A46" s="11" t="s">
        <v>391</v>
      </c>
      <c r="B46" s="19">
        <v>7662.9790000000003</v>
      </c>
      <c r="C46" s="16">
        <v>1.0083549999999999</v>
      </c>
      <c r="D46" s="19">
        <v>7295.9790000000003</v>
      </c>
      <c r="E46" s="60">
        <v>1.0033570000000001</v>
      </c>
      <c r="F46" s="62">
        <v>8304.6170000000002</v>
      </c>
      <c r="G46" s="60">
        <v>1.0713950000000001</v>
      </c>
    </row>
    <row r="47" spans="1:7" x14ac:dyDescent="0.2">
      <c r="A47" s="11" t="s">
        <v>392</v>
      </c>
      <c r="B47" s="19" t="s">
        <v>30</v>
      </c>
      <c r="C47" s="16" t="s">
        <v>30</v>
      </c>
      <c r="D47" s="19" t="s">
        <v>30</v>
      </c>
      <c r="E47" s="60" t="s">
        <v>30</v>
      </c>
      <c r="F47" s="62">
        <v>36.238</v>
      </c>
      <c r="G47" s="60">
        <v>4.6750000000000003E-3</v>
      </c>
    </row>
    <row r="48" spans="1:7" x14ac:dyDescent="0.2">
      <c r="A48" s="11" t="s">
        <v>393</v>
      </c>
      <c r="B48" s="19">
        <v>7599.4809999999998</v>
      </c>
      <c r="C48" s="16">
        <v>1</v>
      </c>
      <c r="D48" s="19">
        <v>7271.5649999999996</v>
      </c>
      <c r="E48" s="60">
        <v>1</v>
      </c>
      <c r="F48" s="62">
        <v>7714.9750000000004</v>
      </c>
      <c r="G48" s="60">
        <v>0.99532399999999999</v>
      </c>
    </row>
    <row r="49" spans="1:7" x14ac:dyDescent="0.2">
      <c r="A49" s="11" t="s">
        <v>394</v>
      </c>
      <c r="B49" s="19">
        <v>0</v>
      </c>
      <c r="C49" s="16">
        <v>0</v>
      </c>
      <c r="D49" s="19">
        <v>0</v>
      </c>
      <c r="E49" s="60">
        <v>0</v>
      </c>
      <c r="F49" s="62">
        <v>0</v>
      </c>
      <c r="G49" s="60">
        <v>0</v>
      </c>
    </row>
    <row r="50" spans="1:7" x14ac:dyDescent="0.2">
      <c r="A50" s="11" t="s">
        <v>395</v>
      </c>
      <c r="B50" s="19">
        <v>562.97900000000004</v>
      </c>
      <c r="C50" s="16">
        <v>7.4080999999999994E-2</v>
      </c>
      <c r="D50" s="19">
        <v>492.97899999999998</v>
      </c>
      <c r="E50" s="60">
        <v>6.7794999999999994E-2</v>
      </c>
      <c r="F50" s="62">
        <v>490.11700000000002</v>
      </c>
      <c r="G50" s="60">
        <v>6.3230999999999996E-2</v>
      </c>
    </row>
    <row r="51" spans="1:7" x14ac:dyDescent="0.2">
      <c r="A51" s="11" t="s">
        <v>396</v>
      </c>
      <c r="B51" s="19">
        <v>439.2</v>
      </c>
      <c r="C51" s="16">
        <v>5.7792999999999997E-2</v>
      </c>
      <c r="D51" s="19">
        <v>379.3</v>
      </c>
      <c r="E51" s="60">
        <v>5.2162E-2</v>
      </c>
      <c r="F51" s="62">
        <v>355.7</v>
      </c>
      <c r="G51" s="60">
        <v>4.5888999999999999E-2</v>
      </c>
    </row>
    <row r="52" spans="1:7" x14ac:dyDescent="0.2">
      <c r="A52" s="11" t="s">
        <v>397</v>
      </c>
      <c r="B52" s="19">
        <v>562.97900000000004</v>
      </c>
      <c r="C52" s="16">
        <v>7.4080999999999994E-2</v>
      </c>
      <c r="D52" s="19">
        <v>492.97899999999998</v>
      </c>
      <c r="E52" s="60">
        <v>6.7794999999999994E-2</v>
      </c>
      <c r="F52" s="62">
        <v>490.11700000000002</v>
      </c>
      <c r="G52" s="60">
        <v>6.3230999999999996E-2</v>
      </c>
    </row>
    <row r="53" spans="1:7" x14ac:dyDescent="0.2">
      <c r="A53" s="11" t="s">
        <v>398</v>
      </c>
      <c r="B53" s="19">
        <v>7100</v>
      </c>
      <c r="C53" s="16">
        <v>0.93427400000000005</v>
      </c>
      <c r="D53" s="19">
        <v>6803</v>
      </c>
      <c r="E53" s="60">
        <v>0.935562</v>
      </c>
      <c r="F53" s="62">
        <v>7814.5</v>
      </c>
      <c r="G53" s="60">
        <v>1.0081640000000001</v>
      </c>
    </row>
    <row r="54" spans="1:7" x14ac:dyDescent="0.2">
      <c r="A54" s="11" t="s">
        <v>399</v>
      </c>
      <c r="B54" s="19">
        <v>7100</v>
      </c>
      <c r="C54" s="16">
        <v>0.93427400000000005</v>
      </c>
      <c r="D54" s="19">
        <v>6803</v>
      </c>
      <c r="E54" s="60">
        <v>0.935562</v>
      </c>
      <c r="F54" s="62">
        <v>7814.5</v>
      </c>
      <c r="G54" s="60">
        <v>1.0081640000000001</v>
      </c>
    </row>
    <row r="55" spans="1:7" x14ac:dyDescent="0.2">
      <c r="A55" s="11" t="s">
        <v>400</v>
      </c>
      <c r="B55" s="19">
        <v>4939.2</v>
      </c>
      <c r="C55" s="16">
        <v>0.64993900000000004</v>
      </c>
      <c r="D55" s="19">
        <v>4129.3</v>
      </c>
      <c r="E55" s="60">
        <v>0.56786899999999996</v>
      </c>
      <c r="F55" s="62">
        <v>4605.7</v>
      </c>
      <c r="G55" s="60">
        <v>0.59419</v>
      </c>
    </row>
    <row r="56" spans="1:7" x14ac:dyDescent="0.2">
      <c r="A56" s="11" t="s">
        <v>401</v>
      </c>
      <c r="B56" s="19">
        <v>0</v>
      </c>
      <c r="C56" s="16">
        <v>0</v>
      </c>
      <c r="D56" s="19">
        <v>0</v>
      </c>
      <c r="E56" s="60">
        <v>0</v>
      </c>
      <c r="F56" s="62">
        <v>0</v>
      </c>
      <c r="G56" s="60">
        <v>0</v>
      </c>
    </row>
    <row r="57" spans="1:7" x14ac:dyDescent="0.2">
      <c r="A57" s="11" t="s">
        <v>402</v>
      </c>
      <c r="B57" s="19">
        <v>91.8</v>
      </c>
      <c r="C57" s="16">
        <v>1.2078999999999999E-2</v>
      </c>
      <c r="D57" s="19">
        <v>43.7</v>
      </c>
      <c r="E57" s="60">
        <v>6.0089999999999996E-3</v>
      </c>
      <c r="F57" s="62">
        <v>24.3</v>
      </c>
      <c r="G57" s="60">
        <v>3.1340000000000001E-3</v>
      </c>
    </row>
    <row r="58" spans="1:7" x14ac:dyDescent="0.2">
      <c r="A58" s="11"/>
      <c r="B58" s="11"/>
      <c r="C58" s="56"/>
      <c r="D58" s="11"/>
      <c r="F58" s="53"/>
    </row>
    <row r="59" spans="1:7" x14ac:dyDescent="0.2">
      <c r="A59" s="9" t="s">
        <v>403</v>
      </c>
      <c r="B59" s="11"/>
      <c r="C59" s="56"/>
      <c r="D59" s="11"/>
      <c r="F59" s="53"/>
    </row>
    <row r="60" spans="1:7" x14ac:dyDescent="0.2">
      <c r="A60" s="11" t="s">
        <v>404</v>
      </c>
      <c r="B60" s="24">
        <v>8.6463380000000001</v>
      </c>
      <c r="C60" s="16" t="s">
        <v>30</v>
      </c>
      <c r="D60" s="24">
        <v>6.61449</v>
      </c>
      <c r="E60" s="60" t="s">
        <v>30</v>
      </c>
      <c r="F60" s="64">
        <v>6.3560889999999999</v>
      </c>
      <c r="G60" s="60" t="s">
        <v>30</v>
      </c>
    </row>
    <row r="61" spans="1:7" x14ac:dyDescent="0.2">
      <c r="A61" s="11" t="s">
        <v>405</v>
      </c>
      <c r="B61" s="24">
        <v>9.0446430000000007</v>
      </c>
      <c r="C61" s="16" t="s">
        <v>30</v>
      </c>
      <c r="D61" s="24">
        <v>6.753647</v>
      </c>
      <c r="E61" s="60" t="s">
        <v>30</v>
      </c>
      <c r="F61" s="64">
        <v>7.0710740000000003</v>
      </c>
      <c r="G61" s="60" t="s">
        <v>30</v>
      </c>
    </row>
    <row r="62" spans="1:7" x14ac:dyDescent="0.2">
      <c r="A62" s="11" t="s">
        <v>406</v>
      </c>
      <c r="B62" s="24">
        <v>9.1202159999999992</v>
      </c>
      <c r="C62" s="16" t="s">
        <v>30</v>
      </c>
      <c r="D62" s="24">
        <v>6.7763229999999997</v>
      </c>
      <c r="E62" s="60" t="s">
        <v>30</v>
      </c>
      <c r="F62" s="64">
        <v>7.5759189999999998</v>
      </c>
      <c r="G62" s="60" t="s">
        <v>30</v>
      </c>
    </row>
    <row r="63" spans="1:7" x14ac:dyDescent="0.2">
      <c r="A63" s="11" t="s">
        <v>407</v>
      </c>
      <c r="B63" s="24">
        <v>0.67003800000000002</v>
      </c>
      <c r="C63" s="16" t="s">
        <v>30</v>
      </c>
      <c r="D63" s="24">
        <v>0.457866</v>
      </c>
      <c r="E63" s="60" t="s">
        <v>30</v>
      </c>
      <c r="F63" s="64">
        <v>0.44711099999999998</v>
      </c>
      <c r="G63" s="60" t="s">
        <v>30</v>
      </c>
    </row>
    <row r="64" spans="1:7" x14ac:dyDescent="0.2">
      <c r="A64" s="11" t="s">
        <v>408</v>
      </c>
      <c r="B64" s="24">
        <v>8.6463380000000001</v>
      </c>
      <c r="C64" s="16" t="s">
        <v>30</v>
      </c>
      <c r="D64" s="24">
        <v>6.61449</v>
      </c>
      <c r="E64" s="60" t="s">
        <v>30</v>
      </c>
      <c r="F64" s="64">
        <v>6.3560889999999999</v>
      </c>
      <c r="G64" s="60" t="s">
        <v>30</v>
      </c>
    </row>
    <row r="65" spans="1:7" x14ac:dyDescent="0.2">
      <c r="A65" s="11" t="s">
        <v>409</v>
      </c>
      <c r="B65" s="24">
        <v>9.0446430000000007</v>
      </c>
      <c r="C65" s="16" t="s">
        <v>30</v>
      </c>
      <c r="D65" s="24">
        <v>6.753647</v>
      </c>
      <c r="E65" s="60" t="s">
        <v>30</v>
      </c>
      <c r="F65" s="64">
        <v>7.0710740000000003</v>
      </c>
      <c r="G65" s="60" t="s">
        <v>30</v>
      </c>
    </row>
    <row r="66" spans="1:7" x14ac:dyDescent="0.2">
      <c r="A66" s="11" t="s">
        <v>410</v>
      </c>
      <c r="B66" s="24">
        <v>9.1202159999999992</v>
      </c>
      <c r="C66" s="16" t="s">
        <v>30</v>
      </c>
      <c r="D66" s="24">
        <v>6.7763229999999997</v>
      </c>
      <c r="E66" s="60" t="s">
        <v>30</v>
      </c>
      <c r="F66" s="64">
        <v>7.5759189999999998</v>
      </c>
      <c r="G66" s="60" t="s">
        <v>30</v>
      </c>
    </row>
    <row r="67" spans="1:7" x14ac:dyDescent="0.2">
      <c r="A67" s="11" t="s">
        <v>411</v>
      </c>
      <c r="B67" s="24">
        <v>0.67003800000000002</v>
      </c>
      <c r="C67" s="16" t="s">
        <v>30</v>
      </c>
      <c r="D67" s="24">
        <v>0.457866</v>
      </c>
      <c r="E67" s="60" t="s">
        <v>30</v>
      </c>
      <c r="F67" s="64">
        <v>0.44711099999999998</v>
      </c>
      <c r="G67" s="60" t="s">
        <v>30</v>
      </c>
    </row>
    <row r="68" spans="1:7" x14ac:dyDescent="0.2">
      <c r="A68" s="11"/>
      <c r="B68" s="11"/>
      <c r="C68" s="56"/>
      <c r="D68" s="11"/>
      <c r="F68" s="53"/>
    </row>
    <row r="69" spans="1:7" x14ac:dyDescent="0.2">
      <c r="A69" s="9" t="s">
        <v>412</v>
      </c>
      <c r="B69" s="11"/>
      <c r="C69" s="56"/>
      <c r="D69" s="11"/>
      <c r="F69" s="53"/>
    </row>
    <row r="70" spans="1:7" x14ac:dyDescent="0.2">
      <c r="A70" s="11" t="s">
        <v>413</v>
      </c>
      <c r="B70" s="19">
        <v>922.57364199999995</v>
      </c>
      <c r="C70" s="16">
        <v>0.121399558996</v>
      </c>
      <c r="D70" s="19">
        <v>45.345458999999998</v>
      </c>
      <c r="E70" s="60">
        <v>6.2359972029999997E-3</v>
      </c>
      <c r="F70" s="62">
        <v>688.27982399999996</v>
      </c>
      <c r="G70" s="60">
        <v>8.8796401802000005E-2</v>
      </c>
    </row>
    <row r="71" spans="1:7" x14ac:dyDescent="0.2">
      <c r="A71" s="11" t="s">
        <v>414</v>
      </c>
      <c r="B71" s="19">
        <v>736.66635799999995</v>
      </c>
      <c r="C71" s="16">
        <v>9.6936403682999994E-2</v>
      </c>
      <c r="D71" s="19">
        <v>665.43036099999995</v>
      </c>
      <c r="E71" s="60">
        <v>9.1511299286999997E-2</v>
      </c>
      <c r="F71" s="62">
        <v>809.04899599999999</v>
      </c>
      <c r="G71" s="60">
        <v>0.10437708214200001</v>
      </c>
    </row>
    <row r="72" spans="1:7" x14ac:dyDescent="0.2">
      <c r="A72" s="11" t="s">
        <v>415</v>
      </c>
      <c r="B72" s="19">
        <v>668</v>
      </c>
      <c r="C72" s="16">
        <v>8.7900739537000006E-2</v>
      </c>
      <c r="D72" s="19">
        <v>810.73475900000005</v>
      </c>
      <c r="E72" s="60">
        <v>0.11149384747299999</v>
      </c>
      <c r="F72" s="62">
        <v>776.13009999999997</v>
      </c>
      <c r="G72" s="60">
        <v>0.100130147372</v>
      </c>
    </row>
    <row r="73" spans="1:7" x14ac:dyDescent="0.2">
      <c r="A73" s="11" t="s">
        <v>416</v>
      </c>
      <c r="B73" s="19">
        <v>812.6</v>
      </c>
      <c r="C73" s="16">
        <v>0.106928354713</v>
      </c>
      <c r="D73" s="19">
        <v>777.74727199999995</v>
      </c>
      <c r="E73" s="60">
        <v>0.10695734302</v>
      </c>
      <c r="F73" s="62">
        <v>470.11365799999999</v>
      </c>
      <c r="G73" s="60">
        <v>6.0650334083000003E-2</v>
      </c>
    </row>
    <row r="74" spans="1:7" x14ac:dyDescent="0.2">
      <c r="A74" s="11" t="s">
        <v>417</v>
      </c>
      <c r="B74" s="19">
        <v>788.7</v>
      </c>
      <c r="C74" s="16">
        <v>0.10378340310299999</v>
      </c>
      <c r="D74" s="19">
        <v>471.09320300000002</v>
      </c>
      <c r="E74" s="60">
        <v>6.4785668971999999E-2</v>
      </c>
      <c r="F74" s="62">
        <v>520.53625599999998</v>
      </c>
      <c r="G74" s="60">
        <v>6.7155457604000005E-2</v>
      </c>
    </row>
    <row r="75" spans="1:7" x14ac:dyDescent="0.2">
      <c r="A75" s="11" t="s">
        <v>418</v>
      </c>
      <c r="B75" s="19">
        <v>3928.54</v>
      </c>
      <c r="C75" s="16">
        <v>0.51694846003299999</v>
      </c>
      <c r="D75" s="19">
        <v>2770.3510540000002</v>
      </c>
      <c r="E75" s="60">
        <v>0.38098415595500001</v>
      </c>
      <c r="F75" s="62">
        <v>3264.1088340000001</v>
      </c>
      <c r="G75" s="60">
        <v>0.42110942300300003</v>
      </c>
    </row>
    <row r="76" spans="1:7" x14ac:dyDescent="0.2">
      <c r="A76" s="11" t="s">
        <v>419</v>
      </c>
      <c r="B76" s="19">
        <v>3570</v>
      </c>
      <c r="C76" s="16">
        <v>0.469768922378</v>
      </c>
      <c r="D76" s="19">
        <v>4409.559945</v>
      </c>
      <c r="E76" s="60">
        <v>0.60641140455999998</v>
      </c>
      <c r="F76" s="62">
        <v>4377.1191660000004</v>
      </c>
      <c r="G76" s="60">
        <v>0.56470118496300004</v>
      </c>
    </row>
    <row r="77" spans="1:7" x14ac:dyDescent="0.2">
      <c r="A77" s="11"/>
      <c r="B77" s="11"/>
      <c r="C77" s="56"/>
      <c r="D77" s="11"/>
      <c r="F77" s="53"/>
    </row>
    <row r="78" spans="1:7" x14ac:dyDescent="0.2">
      <c r="A78" s="11" t="s">
        <v>420</v>
      </c>
      <c r="B78" s="19">
        <v>1.573642</v>
      </c>
      <c r="C78" s="16" t="s">
        <v>30</v>
      </c>
      <c r="D78" s="19">
        <v>22.024999999999999</v>
      </c>
      <c r="E78" s="60" t="s">
        <v>30</v>
      </c>
      <c r="F78" s="62">
        <v>24.431999999999999</v>
      </c>
      <c r="G78" s="60" t="s">
        <v>30</v>
      </c>
    </row>
    <row r="79" spans="1:7" x14ac:dyDescent="0.2">
      <c r="A79" s="11" t="s">
        <v>421</v>
      </c>
      <c r="B79" s="19">
        <v>21.166357999999999</v>
      </c>
      <c r="C79" s="16" t="s">
        <v>30</v>
      </c>
      <c r="D79" s="19" t="s">
        <v>30</v>
      </c>
      <c r="E79" s="60" t="s">
        <v>30</v>
      </c>
      <c r="F79" s="62" t="s">
        <v>30</v>
      </c>
      <c r="G79" s="60" t="s">
        <v>30</v>
      </c>
    </row>
    <row r="80" spans="1:7" x14ac:dyDescent="0.2">
      <c r="A80" s="11" t="s">
        <v>422</v>
      </c>
      <c r="B80" s="19">
        <v>22.74</v>
      </c>
      <c r="C80" s="16" t="s">
        <v>30</v>
      </c>
      <c r="D80" s="19">
        <v>22.024999999999999</v>
      </c>
      <c r="E80" s="60" t="s">
        <v>30</v>
      </c>
      <c r="F80" s="62">
        <v>24.431999999999999</v>
      </c>
      <c r="G80" s="60" t="s">
        <v>30</v>
      </c>
    </row>
    <row r="81" spans="1:7" x14ac:dyDescent="0.2">
      <c r="A81" s="11" t="s">
        <v>423</v>
      </c>
      <c r="B81" s="19" t="s">
        <v>30</v>
      </c>
      <c r="C81" s="16" t="s">
        <v>30</v>
      </c>
      <c r="D81" s="19" t="s">
        <v>30</v>
      </c>
      <c r="E81" s="60" t="s">
        <v>30</v>
      </c>
      <c r="F81" s="62">
        <v>25.89</v>
      </c>
      <c r="G81" s="60" t="s">
        <v>30</v>
      </c>
    </row>
    <row r="82" spans="1:7" x14ac:dyDescent="0.2">
      <c r="A82" s="11"/>
      <c r="B82" s="11"/>
      <c r="C82" s="56"/>
      <c r="D82" s="11"/>
      <c r="F82" s="53"/>
    </row>
    <row r="83" spans="1:7" x14ac:dyDescent="0.2">
      <c r="A83" s="11" t="s">
        <v>424</v>
      </c>
      <c r="B83" s="19">
        <v>12.688000000000001</v>
      </c>
      <c r="C83" s="16" t="s">
        <v>30</v>
      </c>
      <c r="D83" s="19">
        <v>12.41</v>
      </c>
      <c r="E83" s="60" t="s">
        <v>30</v>
      </c>
      <c r="F83" s="62">
        <v>11.805999999999999</v>
      </c>
      <c r="G83" s="60" t="s">
        <v>30</v>
      </c>
    </row>
    <row r="84" spans="1:7" x14ac:dyDescent="0.2">
      <c r="A84" s="11" t="s">
        <v>425</v>
      </c>
      <c r="B84" s="19">
        <v>12.715999999999999</v>
      </c>
      <c r="C84" s="16" t="s">
        <v>30</v>
      </c>
      <c r="D84" s="19">
        <v>11.582000000000001</v>
      </c>
      <c r="E84" s="60" t="s">
        <v>30</v>
      </c>
      <c r="F84" s="62">
        <v>11.291</v>
      </c>
      <c r="G84" s="60" t="s">
        <v>30</v>
      </c>
    </row>
    <row r="85" spans="1:7" x14ac:dyDescent="0.2">
      <c r="A85" s="11" t="s">
        <v>426</v>
      </c>
      <c r="B85" s="19">
        <v>11.894</v>
      </c>
      <c r="C85" s="16" t="s">
        <v>30</v>
      </c>
      <c r="D85" s="19">
        <v>11.067</v>
      </c>
      <c r="E85" s="60" t="s">
        <v>30</v>
      </c>
      <c r="F85" s="62">
        <v>10.625999999999999</v>
      </c>
      <c r="G85" s="60" t="s">
        <v>30</v>
      </c>
    </row>
    <row r="86" spans="1:7" x14ac:dyDescent="0.2">
      <c r="A86" s="11" t="s">
        <v>427</v>
      </c>
      <c r="B86" s="19">
        <v>11.395</v>
      </c>
      <c r="C86" s="16" t="s">
        <v>30</v>
      </c>
      <c r="D86" s="19">
        <v>10.401999999999999</v>
      </c>
      <c r="E86" s="60" t="s">
        <v>30</v>
      </c>
      <c r="F86" s="62">
        <v>10.342000000000001</v>
      </c>
      <c r="G86" s="60" t="s">
        <v>30</v>
      </c>
    </row>
    <row r="87" spans="1:7" x14ac:dyDescent="0.2">
      <c r="A87" s="11" t="s">
        <v>428</v>
      </c>
      <c r="B87" s="19">
        <v>10.742000000000001</v>
      </c>
      <c r="C87" s="16" t="s">
        <v>30</v>
      </c>
      <c r="D87" s="19">
        <v>10.118</v>
      </c>
      <c r="E87" s="60" t="s">
        <v>30</v>
      </c>
      <c r="F87" s="62">
        <v>10.366</v>
      </c>
      <c r="G87" s="60" t="s">
        <v>30</v>
      </c>
    </row>
    <row r="88" spans="1:7" x14ac:dyDescent="0.2">
      <c r="A88" s="11" t="s">
        <v>429</v>
      </c>
      <c r="B88" s="19">
        <v>59.435000000000002</v>
      </c>
      <c r="C88" s="16" t="s">
        <v>30</v>
      </c>
      <c r="D88" s="19">
        <v>55.579000000000001</v>
      </c>
      <c r="E88" s="60" t="s">
        <v>30</v>
      </c>
      <c r="F88" s="62">
        <v>54.430999999999997</v>
      </c>
      <c r="G88" s="60" t="s">
        <v>30</v>
      </c>
    </row>
    <row r="89" spans="1:7" x14ac:dyDescent="0.2">
      <c r="A89" s="11" t="s">
        <v>430</v>
      </c>
      <c r="B89" s="19">
        <v>215.41300000000001</v>
      </c>
      <c r="C89" s="16" t="s">
        <v>30</v>
      </c>
      <c r="D89" s="19">
        <v>188.952</v>
      </c>
      <c r="E89" s="60" t="s">
        <v>30</v>
      </c>
      <c r="F89" s="62">
        <v>178.334</v>
      </c>
      <c r="G89" s="60" t="s">
        <v>30</v>
      </c>
    </row>
    <row r="90" spans="1:7" x14ac:dyDescent="0.2">
      <c r="A90" s="11"/>
      <c r="B90" s="11"/>
      <c r="C90" s="56"/>
      <c r="D90" s="11"/>
      <c r="F90" s="53"/>
    </row>
    <row r="91" spans="1:7" x14ac:dyDescent="0.2">
      <c r="A91" s="11" t="s">
        <v>431</v>
      </c>
      <c r="B91" s="19">
        <v>244.9</v>
      </c>
      <c r="C91" s="16" t="s">
        <v>30</v>
      </c>
      <c r="D91" s="19">
        <v>250.3</v>
      </c>
      <c r="E91" s="60" t="s">
        <v>30</v>
      </c>
      <c r="F91" s="62">
        <v>261.8</v>
      </c>
      <c r="G91" s="60" t="s">
        <v>30</v>
      </c>
    </row>
    <row r="92" spans="1:7" x14ac:dyDescent="0.2">
      <c r="A92" s="11" t="s">
        <v>432</v>
      </c>
      <c r="B92" s="19">
        <v>205</v>
      </c>
      <c r="C92" s="16" t="s">
        <v>30</v>
      </c>
      <c r="D92" s="19">
        <v>229.6</v>
      </c>
      <c r="E92" s="60" t="s">
        <v>30</v>
      </c>
      <c r="F92" s="62">
        <v>236.1</v>
      </c>
      <c r="G92" s="60" t="s">
        <v>30</v>
      </c>
    </row>
    <row r="93" spans="1:7" x14ac:dyDescent="0.2">
      <c r="A93" s="11" t="s">
        <v>433</v>
      </c>
      <c r="B93" s="19">
        <v>176.4</v>
      </c>
      <c r="C93" s="16" t="s">
        <v>30</v>
      </c>
      <c r="D93" s="19">
        <v>204.1</v>
      </c>
      <c r="E93" s="60" t="s">
        <v>30</v>
      </c>
      <c r="F93" s="62">
        <v>223</v>
      </c>
      <c r="G93" s="60" t="s">
        <v>30</v>
      </c>
    </row>
    <row r="94" spans="1:7" x14ac:dyDescent="0.2">
      <c r="A94" s="11" t="s">
        <v>434</v>
      </c>
      <c r="B94" s="19">
        <v>152</v>
      </c>
      <c r="C94" s="16" t="s">
        <v>30</v>
      </c>
      <c r="D94" s="19">
        <v>191</v>
      </c>
      <c r="E94" s="60" t="s">
        <v>30</v>
      </c>
      <c r="F94" s="62">
        <v>193.4</v>
      </c>
      <c r="G94" s="60" t="s">
        <v>30</v>
      </c>
    </row>
    <row r="95" spans="1:7" x14ac:dyDescent="0.2">
      <c r="A95" s="11" t="s">
        <v>435</v>
      </c>
      <c r="B95" s="19">
        <v>139</v>
      </c>
      <c r="C95" s="16" t="s">
        <v>30</v>
      </c>
      <c r="D95" s="19">
        <v>161.4</v>
      </c>
      <c r="E95" s="60" t="s">
        <v>30</v>
      </c>
      <c r="F95" s="62">
        <v>178.2</v>
      </c>
      <c r="G95" s="60" t="s">
        <v>30</v>
      </c>
    </row>
    <row r="96" spans="1:7" x14ac:dyDescent="0.2">
      <c r="A96" s="11" t="s">
        <v>436</v>
      </c>
      <c r="B96" s="19">
        <v>917.3</v>
      </c>
      <c r="C96" s="16" t="s">
        <v>30</v>
      </c>
      <c r="D96" s="19">
        <v>1036.4000000000001</v>
      </c>
      <c r="E96" s="60" t="s">
        <v>30</v>
      </c>
      <c r="F96" s="62">
        <v>1092.5</v>
      </c>
      <c r="G96" s="60" t="s">
        <v>30</v>
      </c>
    </row>
    <row r="97" spans="1:7" x14ac:dyDescent="0.2">
      <c r="A97" s="11" t="s">
        <v>437</v>
      </c>
      <c r="B97" s="19">
        <v>1426.1</v>
      </c>
      <c r="C97" s="16" t="s">
        <v>30</v>
      </c>
      <c r="D97" s="19">
        <v>1553.5</v>
      </c>
      <c r="E97" s="60" t="s">
        <v>30</v>
      </c>
      <c r="F97" s="62">
        <v>1572.6</v>
      </c>
      <c r="G97" s="60" t="s">
        <v>30</v>
      </c>
    </row>
    <row r="98" spans="1:7" x14ac:dyDescent="0.2">
      <c r="A98" s="11" t="s">
        <v>438</v>
      </c>
      <c r="B98" s="19">
        <v>2343.4</v>
      </c>
      <c r="C98" s="16" t="s">
        <v>30</v>
      </c>
      <c r="D98" s="19">
        <v>2589.9</v>
      </c>
      <c r="E98" s="60" t="s">
        <v>30</v>
      </c>
      <c r="F98" s="62">
        <v>2665.1</v>
      </c>
      <c r="G98" s="60" t="s">
        <v>30</v>
      </c>
    </row>
    <row r="99" spans="1:7" x14ac:dyDescent="0.2">
      <c r="A99" s="11"/>
      <c r="B99" s="11"/>
      <c r="C99" s="56"/>
      <c r="D99" s="11"/>
      <c r="F99" s="53"/>
    </row>
    <row r="100" spans="1:7" x14ac:dyDescent="0.2">
      <c r="A100" s="9" t="s">
        <v>439</v>
      </c>
      <c r="B100" s="11"/>
      <c r="C100" s="56"/>
      <c r="D100" s="11"/>
      <c r="F100" s="53"/>
    </row>
    <row r="101" spans="1:7" x14ac:dyDescent="0.2">
      <c r="A101" s="11" t="s">
        <v>440</v>
      </c>
      <c r="B101" s="18" t="s">
        <v>30</v>
      </c>
      <c r="C101" s="16" t="s">
        <v>30</v>
      </c>
      <c r="D101" s="18" t="s">
        <v>30</v>
      </c>
      <c r="E101" s="60" t="s">
        <v>30</v>
      </c>
      <c r="F101" s="65">
        <v>3.6799999999999999E-2</v>
      </c>
      <c r="G101" s="60" t="s">
        <v>30</v>
      </c>
    </row>
    <row r="102" spans="1:7" x14ac:dyDescent="0.2">
      <c r="A102" s="11"/>
      <c r="B102" s="11"/>
      <c r="C102" s="56"/>
      <c r="D102" s="11"/>
      <c r="F102" s="53"/>
    </row>
    <row r="103" spans="1:7" x14ac:dyDescent="0.2">
      <c r="A103" s="11" t="s">
        <v>157</v>
      </c>
      <c r="B103" s="34">
        <v>45348</v>
      </c>
      <c r="C103" s="16" t="s">
        <v>30</v>
      </c>
      <c r="D103" s="34">
        <v>45348</v>
      </c>
      <c r="E103" s="60" t="s">
        <v>30</v>
      </c>
      <c r="F103" s="66">
        <v>45348</v>
      </c>
      <c r="G103" s="60" t="s">
        <v>30</v>
      </c>
    </row>
    <row r="104" spans="1:7" ht="61.2" x14ac:dyDescent="0.2">
      <c r="A104" s="41" t="s">
        <v>76</v>
      </c>
      <c r="B104" s="12"/>
      <c r="C104" s="12"/>
      <c r="D104" s="12"/>
    </row>
  </sheetData>
  <mergeCells count="6">
    <mergeCell ref="B14:C14"/>
    <mergeCell ref="D14:E14"/>
    <mergeCell ref="F14:G14"/>
    <mergeCell ref="B27:C27"/>
    <mergeCell ref="D27:E27"/>
    <mergeCell ref="F27:G27"/>
  </mergeCells>
  <phoneticPr fontId="0" type="noConversion"/>
  <pageMargins left="0.2" right="0.2" top="0.5" bottom="0.5" header="0.5" footer="0.5"/>
  <pageSetup fitToWidth="0" fitToHeight="0"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42"/>
  <sheetViews>
    <sheetView workbookViewId="0"/>
    <sheetView workbookViewId="1"/>
    <sheetView workbookViewId="2"/>
  </sheetViews>
  <sheetFormatPr defaultRowHeight="10.199999999999999" x14ac:dyDescent="0.2"/>
  <cols>
    <col min="1" max="1" width="20.77734375" customWidth="1"/>
    <col min="2" max="2" width="22.77734375" customWidth="1"/>
    <col min="3" max="3" width="15.77734375" customWidth="1"/>
    <col min="4" max="4" width="12.77734375" customWidth="1"/>
    <col min="5" max="5" width="19.77734375" customWidth="1"/>
    <col min="6" max="7" width="15.77734375" customWidth="1"/>
    <col min="8" max="8" width="10.77734375" customWidth="1"/>
    <col min="9" max="9" width="16.77734375" customWidth="1"/>
    <col min="10" max="10" width="7.77734375" customWidth="1"/>
  </cols>
  <sheetData>
    <row r="5" spans="1:255" ht="16.2" x14ac:dyDescent="0.25">
      <c r="A5" s="1" t="s">
        <v>441</v>
      </c>
    </row>
    <row r="7" spans="1:255" ht="20.399999999999999" x14ac:dyDescent="0.2">
      <c r="A7" s="2" t="s">
        <v>442</v>
      </c>
      <c r="B7" s="3" t="s">
        <v>443</v>
      </c>
      <c r="C7" t="s">
        <v>84</v>
      </c>
      <c r="D7" s="4" t="s">
        <v>4</v>
      </c>
      <c r="E7" s="3" t="s">
        <v>444</v>
      </c>
      <c r="F7" t="s">
        <v>445</v>
      </c>
    </row>
    <row r="8" spans="1:255" x14ac:dyDescent="0.2">
      <c r="A8" s="4"/>
      <c r="B8" s="3" t="s">
        <v>446</v>
      </c>
      <c r="C8" t="s">
        <v>87</v>
      </c>
      <c r="D8" s="4" t="s">
        <v>4</v>
      </c>
      <c r="E8" s="3" t="s">
        <v>447</v>
      </c>
      <c r="F8" t="s">
        <v>6</v>
      </c>
    </row>
    <row r="9" spans="1:255" x14ac:dyDescent="0.2">
      <c r="A9" s="4"/>
      <c r="B9" s="3" t="s">
        <v>448</v>
      </c>
      <c r="C9" t="s">
        <v>10</v>
      </c>
      <c r="D9" s="4" t="s">
        <v>4</v>
      </c>
      <c r="E9" s="3" t="s">
        <v>449</v>
      </c>
      <c r="F9" s="5" t="s">
        <v>12</v>
      </c>
    </row>
    <row r="12" spans="1:255" x14ac:dyDescent="0.2">
      <c r="A12" s="6" t="s">
        <v>450</v>
      </c>
      <c r="B12" s="6"/>
      <c r="C12" s="6"/>
      <c r="D12" s="6"/>
      <c r="E12" s="6"/>
      <c r="F12" s="6"/>
      <c r="G12" s="6"/>
      <c r="H12" s="6"/>
      <c r="I12" s="6"/>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75"/>
      <c r="DT12" s="75"/>
      <c r="DU12" s="75"/>
      <c r="DV12" s="75"/>
      <c r="DW12" s="75"/>
      <c r="DX12" s="75"/>
      <c r="DY12" s="75"/>
      <c r="DZ12" s="75"/>
      <c r="EA12" s="75"/>
      <c r="EB12" s="75"/>
      <c r="EC12" s="75"/>
      <c r="ED12" s="75"/>
      <c r="EE12" s="75"/>
      <c r="EF12" s="75"/>
      <c r="EG12" s="75"/>
      <c r="EH12" s="75"/>
      <c r="EI12" s="75"/>
      <c r="EJ12" s="75"/>
      <c r="EK12" s="75"/>
      <c r="EL12" s="75"/>
      <c r="EM12" s="75"/>
      <c r="EN12" s="75"/>
      <c r="EO12" s="75"/>
      <c r="EP12" s="75"/>
      <c r="EQ12" s="75"/>
      <c r="ER12" s="75"/>
      <c r="ES12" s="75"/>
      <c r="ET12" s="75"/>
      <c r="EU12" s="75"/>
      <c r="EV12" s="75"/>
      <c r="EW12" s="75"/>
      <c r="EX12" s="75"/>
      <c r="EY12" s="75"/>
      <c r="EZ12" s="75"/>
      <c r="FA12" s="75"/>
      <c r="FB12" s="75"/>
      <c r="FC12" s="75"/>
      <c r="FD12" s="75"/>
      <c r="FE12" s="75"/>
      <c r="FF12" s="75"/>
      <c r="FG12" s="75"/>
      <c r="FH12" s="75"/>
      <c r="FI12" s="75"/>
      <c r="FJ12" s="75"/>
      <c r="FK12" s="75"/>
      <c r="FL12" s="75"/>
      <c r="FM12" s="75"/>
      <c r="FN12" s="75"/>
      <c r="FO12" s="75"/>
      <c r="FP12" s="75"/>
      <c r="FQ12" s="75"/>
      <c r="FR12" s="75"/>
      <c r="FS12" s="75"/>
      <c r="FT12" s="75"/>
      <c r="FU12" s="75"/>
      <c r="FV12" s="75"/>
      <c r="FW12" s="75"/>
      <c r="FX12" s="75"/>
      <c r="FY12" s="75"/>
      <c r="FZ12" s="75"/>
      <c r="GA12" s="75"/>
      <c r="GB12" s="75"/>
      <c r="GC12" s="75"/>
      <c r="GD12" s="75"/>
      <c r="GE12" s="75"/>
      <c r="GF12" s="75"/>
      <c r="GG12" s="75"/>
      <c r="GH12" s="75"/>
      <c r="GI12" s="75"/>
      <c r="GJ12" s="75"/>
      <c r="GK12" s="75"/>
      <c r="GL12" s="75"/>
      <c r="GM12" s="75"/>
      <c r="GN12" s="75"/>
      <c r="GO12" s="75"/>
      <c r="GP12" s="75"/>
      <c r="GQ12" s="75"/>
      <c r="GR12" s="75"/>
      <c r="GS12" s="75"/>
      <c r="GT12" s="75"/>
      <c r="GU12" s="75"/>
      <c r="GV12" s="75"/>
      <c r="GW12" s="75"/>
      <c r="GX12" s="75"/>
      <c r="GY12" s="75"/>
      <c r="GZ12" s="75"/>
      <c r="HA12" s="75"/>
      <c r="HB12" s="75"/>
      <c r="HC12" s="75"/>
      <c r="HD12" s="75"/>
      <c r="HE12" s="75"/>
      <c r="HF12" s="75"/>
      <c r="HG12" s="75"/>
      <c r="HH12" s="75"/>
      <c r="HI12" s="75"/>
      <c r="HJ12" s="75"/>
      <c r="HK12" s="75"/>
      <c r="HL12" s="75"/>
      <c r="HM12" s="75"/>
      <c r="HN12" s="75"/>
      <c r="HO12" s="75"/>
      <c r="HP12" s="75"/>
      <c r="HQ12" s="75"/>
      <c r="HR12" s="75"/>
      <c r="HS12" s="75"/>
      <c r="HT12" s="75"/>
      <c r="HU12" s="75"/>
      <c r="HV12" s="75"/>
      <c r="HW12" s="75"/>
      <c r="HX12" s="75"/>
      <c r="HY12" s="75"/>
      <c r="HZ12" s="75"/>
      <c r="IA12" s="75"/>
      <c r="IB12" s="75"/>
      <c r="IC12" s="75"/>
      <c r="ID12" s="75"/>
      <c r="IE12" s="75"/>
      <c r="IF12" s="75"/>
      <c r="IG12" s="75"/>
      <c r="IH12" s="75"/>
      <c r="II12" s="75"/>
      <c r="IJ12" s="75"/>
      <c r="IK12" s="75"/>
      <c r="IL12" s="75"/>
      <c r="IM12" s="75"/>
      <c r="IN12" s="75"/>
      <c r="IO12" s="75"/>
      <c r="IP12" s="75"/>
      <c r="IQ12" s="75"/>
      <c r="IR12" s="75"/>
      <c r="IS12" s="75"/>
      <c r="IT12" s="75"/>
      <c r="IU12" s="75"/>
    </row>
    <row r="13" spans="1:255" ht="36" x14ac:dyDescent="0.35">
      <c r="A13" s="67" t="s">
        <v>451</v>
      </c>
      <c r="B13" s="67" t="s">
        <v>452</v>
      </c>
      <c r="C13" s="68" t="s">
        <v>453</v>
      </c>
      <c r="D13" s="68" t="s">
        <v>454</v>
      </c>
      <c r="E13" s="68" t="s">
        <v>455</v>
      </c>
      <c r="F13" s="68" t="s">
        <v>456</v>
      </c>
      <c r="G13" s="68" t="s">
        <v>457</v>
      </c>
      <c r="H13" s="68" t="s">
        <v>458</v>
      </c>
      <c r="I13" s="68" t="s">
        <v>459</v>
      </c>
      <c r="J13" s="68" t="s">
        <v>460</v>
      </c>
    </row>
    <row r="14" spans="1:255" ht="20.399999999999999" x14ac:dyDescent="0.2">
      <c r="A14" s="56" t="s">
        <v>461</v>
      </c>
      <c r="B14" s="56" t="s">
        <v>462</v>
      </c>
      <c r="C14" s="69">
        <v>500</v>
      </c>
      <c r="D14" s="71" t="s">
        <v>463</v>
      </c>
      <c r="E14" s="71" t="s">
        <v>36</v>
      </c>
      <c r="F14" s="72">
        <v>48183</v>
      </c>
      <c r="G14" s="71" t="s">
        <v>464</v>
      </c>
      <c r="H14" s="71" t="s">
        <v>465</v>
      </c>
      <c r="I14" s="71" t="s">
        <v>465</v>
      </c>
      <c r="J14" s="71" t="s">
        <v>26</v>
      </c>
    </row>
    <row r="15" spans="1:255" ht="20.399999999999999" x14ac:dyDescent="0.2">
      <c r="A15" s="56" t="s">
        <v>466</v>
      </c>
      <c r="B15" s="56" t="s">
        <v>462</v>
      </c>
      <c r="C15" s="69">
        <v>600</v>
      </c>
      <c r="D15" s="71" t="s">
        <v>467</v>
      </c>
      <c r="E15" s="71" t="s">
        <v>36</v>
      </c>
      <c r="F15" s="72">
        <v>48305</v>
      </c>
      <c r="G15" s="71" t="s">
        <v>464</v>
      </c>
      <c r="H15" s="71" t="s">
        <v>465</v>
      </c>
      <c r="I15" s="71" t="s">
        <v>465</v>
      </c>
      <c r="J15" s="71" t="s">
        <v>26</v>
      </c>
    </row>
    <row r="16" spans="1:255" ht="20.399999999999999" x14ac:dyDescent="0.2">
      <c r="A16" s="56" t="s">
        <v>468</v>
      </c>
      <c r="B16" s="56" t="s">
        <v>462</v>
      </c>
      <c r="C16" s="69">
        <v>650</v>
      </c>
      <c r="D16" s="71" t="s">
        <v>469</v>
      </c>
      <c r="E16" s="71" t="s">
        <v>36</v>
      </c>
      <c r="F16" s="72">
        <v>48611</v>
      </c>
      <c r="G16" s="71" t="s">
        <v>464</v>
      </c>
      <c r="H16" s="71" t="s">
        <v>465</v>
      </c>
      <c r="I16" s="71" t="s">
        <v>465</v>
      </c>
      <c r="J16" s="71" t="s">
        <v>26</v>
      </c>
    </row>
    <row r="17" spans="1:255" ht="20.399999999999999" x14ac:dyDescent="0.2">
      <c r="A17" s="56" t="s">
        <v>470</v>
      </c>
      <c r="B17" s="56" t="s">
        <v>462</v>
      </c>
      <c r="C17" s="69">
        <v>500</v>
      </c>
      <c r="D17" s="71" t="s">
        <v>471</v>
      </c>
      <c r="E17" s="71" t="s">
        <v>36</v>
      </c>
      <c r="F17" s="72">
        <v>49004</v>
      </c>
      <c r="G17" s="71" t="s">
        <v>464</v>
      </c>
      <c r="H17" s="71" t="s">
        <v>465</v>
      </c>
      <c r="I17" s="71" t="s">
        <v>465</v>
      </c>
      <c r="J17" s="71" t="s">
        <v>26</v>
      </c>
    </row>
    <row r="18" spans="1:255" x14ac:dyDescent="0.2">
      <c r="A18" s="56" t="s">
        <v>472</v>
      </c>
      <c r="B18" s="56" t="s">
        <v>473</v>
      </c>
      <c r="C18" s="69">
        <v>24.4</v>
      </c>
      <c r="D18" s="71" t="s">
        <v>474</v>
      </c>
      <c r="E18" s="71" t="s">
        <v>36</v>
      </c>
      <c r="F18" s="71">
        <v>2024</v>
      </c>
      <c r="G18" s="71" t="s">
        <v>464</v>
      </c>
      <c r="H18" s="71" t="s">
        <v>475</v>
      </c>
      <c r="I18" s="71" t="s">
        <v>465</v>
      </c>
      <c r="J18" s="71" t="s">
        <v>26</v>
      </c>
    </row>
    <row r="19" spans="1:255" x14ac:dyDescent="0.2">
      <c r="A19" s="56" t="s">
        <v>476</v>
      </c>
      <c r="B19" s="56" t="s">
        <v>462</v>
      </c>
      <c r="C19" s="69">
        <v>355.7</v>
      </c>
      <c r="D19" s="71" t="s">
        <v>477</v>
      </c>
      <c r="E19" s="71" t="s">
        <v>36</v>
      </c>
      <c r="F19" s="72">
        <v>48000</v>
      </c>
      <c r="G19" s="71" t="s">
        <v>464</v>
      </c>
      <c r="H19" s="71" t="s">
        <v>475</v>
      </c>
      <c r="I19" s="71" t="s">
        <v>465</v>
      </c>
      <c r="J19" s="71" t="s">
        <v>26</v>
      </c>
    </row>
    <row r="20" spans="1:255" ht="20.399999999999999" x14ac:dyDescent="0.2">
      <c r="A20" s="56" t="s">
        <v>478</v>
      </c>
      <c r="B20" s="56" t="s">
        <v>479</v>
      </c>
      <c r="C20" s="70" t="s">
        <v>30</v>
      </c>
      <c r="D20" s="71" t="s">
        <v>480</v>
      </c>
      <c r="E20" s="71" t="s">
        <v>481</v>
      </c>
      <c r="F20" s="72">
        <v>46463</v>
      </c>
      <c r="G20" s="71" t="s">
        <v>464</v>
      </c>
      <c r="H20" s="71" t="s">
        <v>465</v>
      </c>
      <c r="I20" s="71" t="s">
        <v>465</v>
      </c>
      <c r="J20" s="71" t="s">
        <v>26</v>
      </c>
    </row>
    <row r="21" spans="1:255" x14ac:dyDescent="0.2">
      <c r="A21" s="56" t="s">
        <v>482</v>
      </c>
      <c r="B21" s="56" t="s">
        <v>473</v>
      </c>
      <c r="C21" s="69">
        <v>110</v>
      </c>
      <c r="D21" s="71" t="s">
        <v>483</v>
      </c>
      <c r="E21" s="71" t="s">
        <v>36</v>
      </c>
      <c r="F21" s="71" t="s">
        <v>30</v>
      </c>
      <c r="G21" s="71" t="s">
        <v>464</v>
      </c>
      <c r="H21" s="71" t="s">
        <v>475</v>
      </c>
      <c r="I21" s="71" t="s">
        <v>465</v>
      </c>
      <c r="J21" s="71" t="s">
        <v>26</v>
      </c>
    </row>
    <row r="22" spans="1:255" x14ac:dyDescent="0.2">
      <c r="A22" s="56" t="s">
        <v>484</v>
      </c>
      <c r="B22" s="56" t="s">
        <v>462</v>
      </c>
      <c r="C22" s="69">
        <v>1500</v>
      </c>
      <c r="D22" s="71" t="s">
        <v>485</v>
      </c>
      <c r="E22" s="71" t="s">
        <v>36</v>
      </c>
      <c r="F22" s="71" t="s">
        <v>486</v>
      </c>
      <c r="G22" s="71" t="s">
        <v>464</v>
      </c>
      <c r="H22" s="71" t="s">
        <v>465</v>
      </c>
      <c r="I22" s="71" t="s">
        <v>465</v>
      </c>
      <c r="J22" s="71" t="s">
        <v>26</v>
      </c>
    </row>
    <row r="23" spans="1:255" x14ac:dyDescent="0.2">
      <c r="A23" s="56" t="s">
        <v>484</v>
      </c>
      <c r="B23" s="56" t="s">
        <v>462</v>
      </c>
      <c r="C23" s="69">
        <v>3053</v>
      </c>
      <c r="D23" s="71" t="s">
        <v>36</v>
      </c>
      <c r="E23" s="71" t="s">
        <v>36</v>
      </c>
      <c r="F23" s="71" t="s">
        <v>30</v>
      </c>
      <c r="G23" s="71" t="s">
        <v>464</v>
      </c>
      <c r="H23" s="71" t="s">
        <v>465</v>
      </c>
      <c r="I23" s="71" t="s">
        <v>465</v>
      </c>
      <c r="J23" s="71" t="s">
        <v>26</v>
      </c>
    </row>
    <row r="24" spans="1:255" x14ac:dyDescent="0.2">
      <c r="A24" s="56" t="s">
        <v>487</v>
      </c>
      <c r="B24" s="56" t="s">
        <v>462</v>
      </c>
      <c r="C24" s="69">
        <v>511.5</v>
      </c>
      <c r="D24" s="71" t="s">
        <v>488</v>
      </c>
      <c r="E24" s="71" t="s">
        <v>36</v>
      </c>
      <c r="F24" s="71" t="s">
        <v>489</v>
      </c>
      <c r="G24" s="71" t="s">
        <v>464</v>
      </c>
      <c r="H24" s="71" t="s">
        <v>465</v>
      </c>
      <c r="I24" s="71" t="s">
        <v>465</v>
      </c>
      <c r="J24" s="71" t="s">
        <v>26</v>
      </c>
    </row>
    <row r="25" spans="1:255" ht="20.399999999999999" x14ac:dyDescent="0.2">
      <c r="A25" s="56" t="s">
        <v>490</v>
      </c>
      <c r="B25" s="56" t="s">
        <v>462</v>
      </c>
      <c r="C25" s="69">
        <v>500</v>
      </c>
      <c r="D25" s="71" t="s">
        <v>491</v>
      </c>
      <c r="E25" s="71" t="s">
        <v>36</v>
      </c>
      <c r="F25" s="72">
        <v>47757</v>
      </c>
      <c r="G25" s="71" t="s">
        <v>464</v>
      </c>
      <c r="H25" s="71" t="s">
        <v>465</v>
      </c>
      <c r="I25" s="71" t="s">
        <v>465</v>
      </c>
      <c r="J25" s="71" t="s">
        <v>26</v>
      </c>
    </row>
    <row r="26" spans="1:255" x14ac:dyDescent="0.2">
      <c r="A26" s="55"/>
      <c r="B26" s="55"/>
      <c r="C26" s="55"/>
      <c r="D26" s="55"/>
      <c r="E26" s="55"/>
      <c r="F26" s="55"/>
      <c r="G26" s="55"/>
      <c r="H26" s="55"/>
      <c r="I26" s="55"/>
      <c r="J26" s="55"/>
    </row>
    <row r="30" spans="1:255" x14ac:dyDescent="0.2">
      <c r="A30" s="6" t="s">
        <v>492</v>
      </c>
      <c r="B30" s="6"/>
      <c r="C30" s="6"/>
      <c r="D30" s="6"/>
      <c r="E30" s="6"/>
      <c r="F30" s="6"/>
      <c r="G30" s="6"/>
      <c r="H30" s="6"/>
      <c r="I30" s="6"/>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75"/>
      <c r="CD30" s="75"/>
      <c r="CE30" s="75"/>
      <c r="CF30" s="75"/>
      <c r="CG30" s="75"/>
      <c r="CH30" s="75"/>
      <c r="CI30" s="75"/>
      <c r="CJ30" s="75"/>
      <c r="CK30" s="75"/>
      <c r="CL30" s="75"/>
      <c r="CM30" s="75"/>
      <c r="CN30" s="75"/>
      <c r="CO30" s="75"/>
      <c r="CP30" s="75"/>
      <c r="CQ30" s="75"/>
      <c r="CR30" s="75"/>
      <c r="CS30" s="75"/>
      <c r="CT30" s="75"/>
      <c r="CU30" s="75"/>
      <c r="CV30" s="75"/>
      <c r="CW30" s="75"/>
      <c r="CX30" s="75"/>
      <c r="CY30" s="75"/>
      <c r="CZ30" s="75"/>
      <c r="DA30" s="75"/>
      <c r="DB30" s="75"/>
      <c r="DC30" s="75"/>
      <c r="DD30" s="75"/>
      <c r="DE30" s="75"/>
      <c r="DF30" s="75"/>
      <c r="DG30" s="75"/>
      <c r="DH30" s="75"/>
      <c r="DI30" s="75"/>
      <c r="DJ30" s="75"/>
      <c r="DK30" s="75"/>
      <c r="DL30" s="75"/>
      <c r="DM30" s="75"/>
      <c r="DN30" s="75"/>
      <c r="DO30" s="75"/>
      <c r="DP30" s="75"/>
      <c r="DQ30" s="75"/>
      <c r="DR30" s="75"/>
      <c r="DS30" s="75"/>
      <c r="DT30" s="75"/>
      <c r="DU30" s="75"/>
      <c r="DV30" s="75"/>
      <c r="DW30" s="75"/>
      <c r="DX30" s="75"/>
      <c r="DY30" s="75"/>
      <c r="DZ30" s="75"/>
      <c r="EA30" s="75"/>
      <c r="EB30" s="75"/>
      <c r="EC30" s="75"/>
      <c r="ED30" s="75"/>
      <c r="EE30" s="75"/>
      <c r="EF30" s="75"/>
      <c r="EG30" s="75"/>
      <c r="EH30" s="75"/>
      <c r="EI30" s="75"/>
      <c r="EJ30" s="75"/>
      <c r="EK30" s="75"/>
      <c r="EL30" s="75"/>
      <c r="EM30" s="75"/>
      <c r="EN30" s="75"/>
      <c r="EO30" s="75"/>
      <c r="EP30" s="75"/>
      <c r="EQ30" s="75"/>
      <c r="ER30" s="75"/>
      <c r="ES30" s="75"/>
      <c r="ET30" s="75"/>
      <c r="EU30" s="75"/>
      <c r="EV30" s="75"/>
      <c r="EW30" s="75"/>
      <c r="EX30" s="75"/>
      <c r="EY30" s="75"/>
      <c r="EZ30" s="75"/>
      <c r="FA30" s="75"/>
      <c r="FB30" s="75"/>
      <c r="FC30" s="75"/>
      <c r="FD30" s="75"/>
      <c r="FE30" s="75"/>
      <c r="FF30" s="75"/>
      <c r="FG30" s="75"/>
      <c r="FH30" s="75"/>
      <c r="FI30" s="75"/>
      <c r="FJ30" s="75"/>
      <c r="FK30" s="75"/>
      <c r="FL30" s="75"/>
      <c r="FM30" s="75"/>
      <c r="FN30" s="75"/>
      <c r="FO30" s="75"/>
      <c r="FP30" s="75"/>
      <c r="FQ30" s="75"/>
      <c r="FR30" s="75"/>
      <c r="FS30" s="75"/>
      <c r="FT30" s="75"/>
      <c r="FU30" s="75"/>
      <c r="FV30" s="75"/>
      <c r="FW30" s="75"/>
      <c r="FX30" s="75"/>
      <c r="FY30" s="75"/>
      <c r="FZ30" s="75"/>
      <c r="GA30" s="75"/>
      <c r="GB30" s="75"/>
      <c r="GC30" s="75"/>
      <c r="GD30" s="75"/>
      <c r="GE30" s="75"/>
      <c r="GF30" s="75"/>
      <c r="GG30" s="75"/>
      <c r="GH30" s="75"/>
      <c r="GI30" s="75"/>
      <c r="GJ30" s="75"/>
      <c r="GK30" s="75"/>
      <c r="GL30" s="75"/>
      <c r="GM30" s="75"/>
      <c r="GN30" s="75"/>
      <c r="GO30" s="75"/>
      <c r="GP30" s="75"/>
      <c r="GQ30" s="75"/>
      <c r="GR30" s="75"/>
      <c r="GS30" s="75"/>
      <c r="GT30" s="75"/>
      <c r="GU30" s="75"/>
      <c r="GV30" s="75"/>
      <c r="GW30" s="75"/>
      <c r="GX30" s="75"/>
      <c r="GY30" s="75"/>
      <c r="GZ30" s="75"/>
      <c r="HA30" s="75"/>
      <c r="HB30" s="75"/>
      <c r="HC30" s="75"/>
      <c r="HD30" s="75"/>
      <c r="HE30" s="75"/>
      <c r="HF30" s="75"/>
      <c r="HG30" s="75"/>
      <c r="HH30" s="75"/>
      <c r="HI30" s="75"/>
      <c r="HJ30" s="75"/>
      <c r="HK30" s="75"/>
      <c r="HL30" s="75"/>
      <c r="HM30" s="75"/>
      <c r="HN30" s="75"/>
      <c r="HO30" s="75"/>
      <c r="HP30" s="75"/>
      <c r="HQ30" s="75"/>
      <c r="HR30" s="75"/>
      <c r="HS30" s="75"/>
      <c r="HT30" s="75"/>
      <c r="HU30" s="75"/>
      <c r="HV30" s="75"/>
      <c r="HW30" s="75"/>
      <c r="HX30" s="75"/>
      <c r="HY30" s="75"/>
      <c r="HZ30" s="75"/>
      <c r="IA30" s="75"/>
      <c r="IB30" s="75"/>
      <c r="IC30" s="75"/>
      <c r="ID30" s="75"/>
      <c r="IE30" s="75"/>
      <c r="IF30" s="75"/>
      <c r="IG30" s="75"/>
      <c r="IH30" s="75"/>
      <c r="II30" s="75"/>
      <c r="IJ30" s="75"/>
      <c r="IK30" s="75"/>
      <c r="IL30" s="75"/>
      <c r="IM30" s="75"/>
      <c r="IN30" s="75"/>
      <c r="IO30" s="75"/>
      <c r="IP30" s="75"/>
      <c r="IQ30" s="75"/>
      <c r="IR30" s="75"/>
      <c r="IS30" s="75"/>
      <c r="IT30" s="75"/>
      <c r="IU30" s="75"/>
    </row>
    <row r="31" spans="1:255" ht="36" x14ac:dyDescent="0.35">
      <c r="A31" s="67" t="s">
        <v>451</v>
      </c>
      <c r="B31" s="67" t="s">
        <v>452</v>
      </c>
      <c r="C31" s="68" t="s">
        <v>453</v>
      </c>
      <c r="D31" s="68" t="s">
        <v>454</v>
      </c>
      <c r="E31" s="68" t="s">
        <v>455</v>
      </c>
      <c r="F31" s="68" t="s">
        <v>456</v>
      </c>
      <c r="G31" s="68" t="s">
        <v>457</v>
      </c>
      <c r="H31" s="68" t="s">
        <v>458</v>
      </c>
      <c r="I31" s="68" t="s">
        <v>459</v>
      </c>
      <c r="J31" s="68" t="s">
        <v>460</v>
      </c>
    </row>
    <row r="32" spans="1:255" ht="20.399999999999999" x14ac:dyDescent="0.2">
      <c r="A32" s="56" t="s">
        <v>461</v>
      </c>
      <c r="B32" s="56" t="s">
        <v>462</v>
      </c>
      <c r="C32" s="69">
        <v>500</v>
      </c>
      <c r="D32" s="71" t="s">
        <v>463</v>
      </c>
      <c r="E32" s="71" t="s">
        <v>36</v>
      </c>
      <c r="F32" s="72">
        <v>48183</v>
      </c>
      <c r="G32" s="71" t="s">
        <v>464</v>
      </c>
      <c r="H32" s="71" t="s">
        <v>465</v>
      </c>
      <c r="I32" s="71" t="s">
        <v>465</v>
      </c>
      <c r="J32" s="71" t="s">
        <v>26</v>
      </c>
    </row>
    <row r="33" spans="1:10" ht="20.399999999999999" x14ac:dyDescent="0.2">
      <c r="A33" s="56" t="s">
        <v>466</v>
      </c>
      <c r="B33" s="56" t="s">
        <v>462</v>
      </c>
      <c r="C33" s="69">
        <v>600</v>
      </c>
      <c r="D33" s="71" t="s">
        <v>467</v>
      </c>
      <c r="E33" s="71" t="s">
        <v>36</v>
      </c>
      <c r="F33" s="72">
        <v>48305</v>
      </c>
      <c r="G33" s="71" t="s">
        <v>464</v>
      </c>
      <c r="H33" s="71" t="s">
        <v>465</v>
      </c>
      <c r="I33" s="71" t="s">
        <v>465</v>
      </c>
      <c r="J33" s="71" t="s">
        <v>26</v>
      </c>
    </row>
    <row r="34" spans="1:10" ht="20.399999999999999" x14ac:dyDescent="0.2">
      <c r="A34" s="56" t="s">
        <v>468</v>
      </c>
      <c r="B34" s="56" t="s">
        <v>462</v>
      </c>
      <c r="C34" s="69">
        <v>650</v>
      </c>
      <c r="D34" s="71" t="s">
        <v>469</v>
      </c>
      <c r="E34" s="71" t="s">
        <v>36</v>
      </c>
      <c r="F34" s="72">
        <v>48611</v>
      </c>
      <c r="G34" s="71" t="s">
        <v>464</v>
      </c>
      <c r="H34" s="71" t="s">
        <v>465</v>
      </c>
      <c r="I34" s="71" t="s">
        <v>465</v>
      </c>
      <c r="J34" s="71" t="s">
        <v>26</v>
      </c>
    </row>
    <row r="35" spans="1:10" x14ac:dyDescent="0.2">
      <c r="A35" s="56" t="s">
        <v>476</v>
      </c>
      <c r="B35" s="56" t="s">
        <v>462</v>
      </c>
      <c r="C35" s="69">
        <v>379.3</v>
      </c>
      <c r="D35" s="71" t="s">
        <v>477</v>
      </c>
      <c r="E35" s="71" t="s">
        <v>36</v>
      </c>
      <c r="F35" s="72">
        <v>48000</v>
      </c>
      <c r="G35" s="71" t="s">
        <v>464</v>
      </c>
      <c r="H35" s="71" t="s">
        <v>475</v>
      </c>
      <c r="I35" s="71" t="s">
        <v>465</v>
      </c>
      <c r="J35" s="71" t="s">
        <v>26</v>
      </c>
    </row>
    <row r="36" spans="1:10" x14ac:dyDescent="0.2">
      <c r="A36" s="56" t="s">
        <v>482</v>
      </c>
      <c r="B36" s="56" t="s">
        <v>473</v>
      </c>
      <c r="C36" s="69">
        <v>113.7</v>
      </c>
      <c r="D36" s="71" t="s">
        <v>483</v>
      </c>
      <c r="E36" s="71" t="s">
        <v>36</v>
      </c>
      <c r="F36" s="71" t="s">
        <v>30</v>
      </c>
      <c r="G36" s="71" t="s">
        <v>464</v>
      </c>
      <c r="H36" s="71" t="s">
        <v>475</v>
      </c>
      <c r="I36" s="71" t="s">
        <v>465</v>
      </c>
      <c r="J36" s="71" t="s">
        <v>26</v>
      </c>
    </row>
    <row r="37" spans="1:10" x14ac:dyDescent="0.2">
      <c r="A37" s="56" t="s">
        <v>484</v>
      </c>
      <c r="B37" s="56" t="s">
        <v>462</v>
      </c>
      <c r="C37" s="69">
        <v>1500</v>
      </c>
      <c r="D37" s="71" t="s">
        <v>485</v>
      </c>
      <c r="E37" s="71" t="s">
        <v>36</v>
      </c>
      <c r="F37" s="71" t="s">
        <v>486</v>
      </c>
      <c r="G37" s="71" t="s">
        <v>464</v>
      </c>
      <c r="H37" s="71" t="s">
        <v>465</v>
      </c>
      <c r="I37" s="71" t="s">
        <v>465</v>
      </c>
      <c r="J37" s="71" t="s">
        <v>26</v>
      </c>
    </row>
    <row r="38" spans="1:10" x14ac:dyDescent="0.2">
      <c r="A38" s="56" t="s">
        <v>484</v>
      </c>
      <c r="B38" s="56" t="s">
        <v>462</v>
      </c>
      <c r="C38" s="69">
        <v>3053</v>
      </c>
      <c r="D38" s="71" t="s">
        <v>36</v>
      </c>
      <c r="E38" s="71" t="s">
        <v>36</v>
      </c>
      <c r="F38" s="71" t="s">
        <v>30</v>
      </c>
      <c r="G38" s="71" t="s">
        <v>464</v>
      </c>
      <c r="H38" s="71" t="s">
        <v>465</v>
      </c>
      <c r="I38" s="71" t="s">
        <v>465</v>
      </c>
      <c r="J38" s="71" t="s">
        <v>26</v>
      </c>
    </row>
    <row r="39" spans="1:10" ht="20.399999999999999" x14ac:dyDescent="0.2">
      <c r="A39" s="56" t="s">
        <v>490</v>
      </c>
      <c r="B39" s="56" t="s">
        <v>462</v>
      </c>
      <c r="C39" s="69">
        <v>500</v>
      </c>
      <c r="D39" s="71" t="s">
        <v>491</v>
      </c>
      <c r="E39" s="71" t="s">
        <v>36</v>
      </c>
      <c r="F39" s="72">
        <v>47757</v>
      </c>
      <c r="G39" s="71" t="s">
        <v>464</v>
      </c>
      <c r="H39" s="71" t="s">
        <v>465</v>
      </c>
      <c r="I39" s="71" t="s">
        <v>465</v>
      </c>
      <c r="J39" s="71" t="s">
        <v>26</v>
      </c>
    </row>
    <row r="40" spans="1:10" ht="20.399999999999999" x14ac:dyDescent="0.2">
      <c r="A40" s="56" t="s">
        <v>493</v>
      </c>
      <c r="B40" s="56" t="s">
        <v>479</v>
      </c>
      <c r="C40" s="70" t="s">
        <v>30</v>
      </c>
      <c r="D40" s="71" t="s">
        <v>494</v>
      </c>
      <c r="E40" s="71" t="s">
        <v>481</v>
      </c>
      <c r="F40" s="72">
        <v>45368</v>
      </c>
      <c r="G40" s="71" t="s">
        <v>464</v>
      </c>
      <c r="H40" s="71" t="s">
        <v>465</v>
      </c>
      <c r="I40" s="71" t="s">
        <v>465</v>
      </c>
      <c r="J40" s="71" t="s">
        <v>26</v>
      </c>
    </row>
    <row r="41" spans="1:10" x14ac:dyDescent="0.2">
      <c r="A41" s="55"/>
      <c r="B41" s="55"/>
      <c r="C41" s="55"/>
      <c r="D41" s="55"/>
      <c r="E41" s="55"/>
      <c r="F41" s="55"/>
      <c r="G41" s="55"/>
      <c r="H41" s="55"/>
      <c r="I41" s="55"/>
      <c r="J41" s="55"/>
    </row>
    <row r="42" spans="1:10" x14ac:dyDescent="0.2">
      <c r="A42" s="26" t="s">
        <v>76</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160"/>
  <sheetViews>
    <sheetView workbookViewId="0"/>
    <sheetView workbookViewId="1"/>
    <sheetView workbookViewId="2"/>
  </sheetViews>
  <sheetFormatPr defaultRowHeight="10.199999999999999" x14ac:dyDescent="0.2"/>
  <cols>
    <col min="1" max="1" width="45.77734375" customWidth="1"/>
    <col min="2" max="7" width="14.77734375" customWidth="1"/>
  </cols>
  <sheetData>
    <row r="5" spans="1:255" ht="16.2" x14ac:dyDescent="0.25">
      <c r="A5" s="1" t="s">
        <v>495</v>
      </c>
    </row>
    <row r="7" spans="1:255" x14ac:dyDescent="0.2">
      <c r="A7" s="4"/>
      <c r="B7" s="3" t="s">
        <v>496</v>
      </c>
      <c r="C7" t="s">
        <v>82</v>
      </c>
      <c r="D7" s="4" t="s">
        <v>4</v>
      </c>
      <c r="E7" s="3" t="s">
        <v>497</v>
      </c>
      <c r="F7" t="s">
        <v>84</v>
      </c>
    </row>
    <row r="8" spans="1:255" x14ac:dyDescent="0.2">
      <c r="A8" s="4"/>
      <c r="B8" s="3" t="s">
        <v>498</v>
      </c>
      <c r="C8" t="s">
        <v>8</v>
      </c>
      <c r="D8" s="4" t="s">
        <v>4</v>
      </c>
      <c r="E8" s="3" t="s">
        <v>499</v>
      </c>
      <c r="F8" s="5" t="s">
        <v>12</v>
      </c>
    </row>
    <row r="9" spans="1:255" x14ac:dyDescent="0.2">
      <c r="A9" s="4"/>
      <c r="B9" s="3" t="s">
        <v>500</v>
      </c>
      <c r="C9" t="s">
        <v>92</v>
      </c>
      <c r="D9" s="4" t="s">
        <v>4</v>
      </c>
      <c r="E9" s="27"/>
      <c r="F9" s="27"/>
    </row>
    <row r="12" spans="1:255" x14ac:dyDescent="0.2">
      <c r="A12" s="6" t="s">
        <v>501</v>
      </c>
      <c r="B12" s="6"/>
      <c r="C12" s="6"/>
      <c r="D12" s="6"/>
      <c r="E12" s="6"/>
      <c r="F12" s="6"/>
      <c r="G12" s="6"/>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75"/>
      <c r="DT12" s="75"/>
      <c r="DU12" s="75"/>
      <c r="DV12" s="75"/>
      <c r="DW12" s="75"/>
      <c r="DX12" s="75"/>
      <c r="DY12" s="75"/>
      <c r="DZ12" s="75"/>
      <c r="EA12" s="75"/>
      <c r="EB12" s="75"/>
      <c r="EC12" s="75"/>
      <c r="ED12" s="75"/>
      <c r="EE12" s="75"/>
      <c r="EF12" s="75"/>
      <c r="EG12" s="75"/>
      <c r="EH12" s="75"/>
      <c r="EI12" s="75"/>
      <c r="EJ12" s="75"/>
      <c r="EK12" s="75"/>
      <c r="EL12" s="75"/>
      <c r="EM12" s="75"/>
      <c r="EN12" s="75"/>
      <c r="EO12" s="75"/>
      <c r="EP12" s="75"/>
      <c r="EQ12" s="75"/>
      <c r="ER12" s="75"/>
      <c r="ES12" s="75"/>
      <c r="ET12" s="75"/>
      <c r="EU12" s="75"/>
      <c r="EV12" s="75"/>
      <c r="EW12" s="75"/>
      <c r="EX12" s="75"/>
      <c r="EY12" s="75"/>
      <c r="EZ12" s="75"/>
      <c r="FA12" s="75"/>
      <c r="FB12" s="75"/>
      <c r="FC12" s="75"/>
      <c r="FD12" s="75"/>
      <c r="FE12" s="75"/>
      <c r="FF12" s="75"/>
      <c r="FG12" s="75"/>
      <c r="FH12" s="75"/>
      <c r="FI12" s="75"/>
      <c r="FJ12" s="75"/>
      <c r="FK12" s="75"/>
      <c r="FL12" s="75"/>
      <c r="FM12" s="75"/>
      <c r="FN12" s="75"/>
      <c r="FO12" s="75"/>
      <c r="FP12" s="75"/>
      <c r="FQ12" s="75"/>
      <c r="FR12" s="75"/>
      <c r="FS12" s="75"/>
      <c r="FT12" s="75"/>
      <c r="FU12" s="75"/>
      <c r="FV12" s="75"/>
      <c r="FW12" s="75"/>
      <c r="FX12" s="75"/>
      <c r="FY12" s="75"/>
      <c r="FZ12" s="75"/>
      <c r="GA12" s="75"/>
      <c r="GB12" s="75"/>
      <c r="GC12" s="75"/>
      <c r="GD12" s="75"/>
      <c r="GE12" s="75"/>
      <c r="GF12" s="75"/>
      <c r="GG12" s="75"/>
      <c r="GH12" s="75"/>
      <c r="GI12" s="75"/>
      <c r="GJ12" s="75"/>
      <c r="GK12" s="75"/>
      <c r="GL12" s="75"/>
      <c r="GM12" s="75"/>
      <c r="GN12" s="75"/>
      <c r="GO12" s="75"/>
      <c r="GP12" s="75"/>
      <c r="GQ12" s="75"/>
      <c r="GR12" s="75"/>
      <c r="GS12" s="75"/>
      <c r="GT12" s="75"/>
      <c r="GU12" s="75"/>
      <c r="GV12" s="75"/>
      <c r="GW12" s="75"/>
      <c r="GX12" s="75"/>
      <c r="GY12" s="75"/>
      <c r="GZ12" s="75"/>
      <c r="HA12" s="75"/>
      <c r="HB12" s="75"/>
      <c r="HC12" s="75"/>
      <c r="HD12" s="75"/>
      <c r="HE12" s="75"/>
      <c r="HF12" s="75"/>
      <c r="HG12" s="75"/>
      <c r="HH12" s="75"/>
      <c r="HI12" s="75"/>
      <c r="HJ12" s="75"/>
      <c r="HK12" s="75"/>
      <c r="HL12" s="75"/>
      <c r="HM12" s="75"/>
      <c r="HN12" s="75"/>
      <c r="HO12" s="75"/>
      <c r="HP12" s="75"/>
      <c r="HQ12" s="75"/>
      <c r="HR12" s="75"/>
      <c r="HS12" s="75"/>
      <c r="HT12" s="75"/>
      <c r="HU12" s="75"/>
      <c r="HV12" s="75"/>
      <c r="HW12" s="75"/>
      <c r="HX12" s="75"/>
      <c r="HY12" s="75"/>
      <c r="HZ12" s="75"/>
      <c r="IA12" s="75"/>
      <c r="IB12" s="75"/>
      <c r="IC12" s="75"/>
      <c r="ID12" s="75"/>
      <c r="IE12" s="75"/>
      <c r="IF12" s="75"/>
      <c r="IG12" s="75"/>
      <c r="IH12" s="75"/>
      <c r="II12" s="75"/>
      <c r="IJ12" s="75"/>
      <c r="IK12" s="75"/>
      <c r="IL12" s="75"/>
      <c r="IM12" s="75"/>
      <c r="IN12" s="75"/>
      <c r="IO12" s="75"/>
      <c r="IP12" s="75"/>
      <c r="IQ12" s="75"/>
      <c r="IR12" s="75"/>
      <c r="IS12" s="75"/>
      <c r="IT12" s="75"/>
      <c r="IU12" s="75"/>
    </row>
    <row r="13" spans="1:255" ht="20.399999999999999" x14ac:dyDescent="0.2">
      <c r="A13" s="7" t="s">
        <v>16</v>
      </c>
      <c r="B13" s="13" t="s">
        <v>264</v>
      </c>
      <c r="C13" s="13" t="s">
        <v>265</v>
      </c>
      <c r="D13" s="13" t="s">
        <v>96</v>
      </c>
      <c r="E13" s="13" t="s">
        <v>266</v>
      </c>
      <c r="F13" s="13" t="s">
        <v>98</v>
      </c>
      <c r="G13" s="13" t="s">
        <v>99</v>
      </c>
    </row>
    <row r="14" spans="1:255" x14ac:dyDescent="0.2">
      <c r="A14" s="9" t="s">
        <v>502</v>
      </c>
      <c r="B14" s="11"/>
      <c r="C14" s="11"/>
      <c r="D14" s="11"/>
      <c r="E14" s="11"/>
      <c r="F14" s="11"/>
      <c r="G14" s="11"/>
    </row>
    <row r="15" spans="1:255" x14ac:dyDescent="0.2">
      <c r="A15" s="11" t="s">
        <v>503</v>
      </c>
      <c r="B15" s="32">
        <v>2.3709999999999998E-2</v>
      </c>
      <c r="C15" s="32">
        <v>2.5406999999999999E-2</v>
      </c>
      <c r="D15" s="32">
        <v>1.8394000000000001E-2</v>
      </c>
      <c r="E15" s="32">
        <v>1.8589000000000001E-2</v>
      </c>
      <c r="F15" s="32">
        <v>1.9692000000000001E-2</v>
      </c>
      <c r="G15" s="32">
        <v>2.0556999999999999E-2</v>
      </c>
    </row>
    <row r="16" spans="1:255" x14ac:dyDescent="0.2">
      <c r="A16" s="11" t="s">
        <v>504</v>
      </c>
      <c r="B16" s="32">
        <v>2.5308000000000001E-2</v>
      </c>
      <c r="C16" s="32">
        <v>2.7046000000000001E-2</v>
      </c>
      <c r="D16" s="32">
        <v>1.9351E-2</v>
      </c>
      <c r="E16" s="32">
        <v>1.9369000000000001E-2</v>
      </c>
      <c r="F16" s="32">
        <v>2.0570999999999999E-2</v>
      </c>
      <c r="G16" s="32">
        <v>2.1517999999999999E-2</v>
      </c>
    </row>
    <row r="17" spans="1:7" x14ac:dyDescent="0.2">
      <c r="A17" s="11" t="s">
        <v>505</v>
      </c>
      <c r="B17" s="32">
        <v>9.0852000000000002E-2</v>
      </c>
      <c r="C17" s="32">
        <v>7.9672000000000007E-2</v>
      </c>
      <c r="D17" s="32">
        <v>0.188636</v>
      </c>
      <c r="E17" s="32">
        <v>0.10749</v>
      </c>
      <c r="F17" s="32">
        <v>1.1532000000000001E-2</v>
      </c>
      <c r="G17" s="32">
        <v>6.8422999999999998E-2</v>
      </c>
    </row>
    <row r="18" spans="1:7" x14ac:dyDescent="0.2">
      <c r="A18" s="11" t="s">
        <v>506</v>
      </c>
      <c r="B18" s="32">
        <v>8.0109E-2</v>
      </c>
      <c r="C18" s="32">
        <v>6.6163E-2</v>
      </c>
      <c r="D18" s="32">
        <v>0.185474</v>
      </c>
      <c r="E18" s="32">
        <v>0.105188</v>
      </c>
      <c r="F18" s="32">
        <v>1.0154E-2</v>
      </c>
      <c r="G18" s="32">
        <v>6.6042000000000003E-2</v>
      </c>
    </row>
    <row r="19" spans="1:7" x14ac:dyDescent="0.2">
      <c r="A19" s="11"/>
      <c r="B19" s="11"/>
      <c r="C19" s="11"/>
      <c r="D19" s="11"/>
      <c r="E19" s="11"/>
      <c r="F19" s="11"/>
      <c r="G19" s="11"/>
    </row>
    <row r="20" spans="1:7" x14ac:dyDescent="0.2">
      <c r="A20" s="9" t="s">
        <v>507</v>
      </c>
      <c r="B20" s="11"/>
      <c r="C20" s="11"/>
      <c r="D20" s="11"/>
      <c r="E20" s="11"/>
      <c r="F20" s="11"/>
      <c r="G20" s="11"/>
    </row>
    <row r="21" spans="1:7" x14ac:dyDescent="0.2">
      <c r="A21" s="11" t="s">
        <v>508</v>
      </c>
      <c r="B21" s="32">
        <v>0.71791700000000003</v>
      </c>
      <c r="C21" s="32">
        <v>0.70924500000000001</v>
      </c>
      <c r="D21" s="32">
        <v>0.67579900000000004</v>
      </c>
      <c r="E21" s="32">
        <v>0.69374400000000003</v>
      </c>
      <c r="F21" s="32">
        <v>0.69270500000000002</v>
      </c>
      <c r="G21" s="32">
        <v>0.68783300000000003</v>
      </c>
    </row>
    <row r="22" spans="1:7" x14ac:dyDescent="0.2">
      <c r="A22" s="11" t="s">
        <v>509</v>
      </c>
      <c r="B22" s="32">
        <v>7.5377E-2</v>
      </c>
      <c r="C22" s="32">
        <v>8.3651000000000003E-2</v>
      </c>
      <c r="D22" s="32">
        <v>8.8114999999999999E-2</v>
      </c>
      <c r="E22" s="32">
        <v>7.6301999999999995E-2</v>
      </c>
      <c r="F22" s="32">
        <v>6.9535E-2</v>
      </c>
      <c r="G22" s="32">
        <v>7.0494000000000001E-2</v>
      </c>
    </row>
    <row r="23" spans="1:7" x14ac:dyDescent="0.2">
      <c r="A23" s="11" t="s">
        <v>510</v>
      </c>
      <c r="B23" s="32">
        <v>0.61982800000000005</v>
      </c>
      <c r="C23" s="32">
        <v>0.64138499999999998</v>
      </c>
      <c r="D23" s="32">
        <v>0.56337599999999999</v>
      </c>
      <c r="E23" s="32">
        <v>0.60429299999999997</v>
      </c>
      <c r="F23" s="32">
        <v>0.61327699999999996</v>
      </c>
      <c r="G23" s="32">
        <v>0.60514100000000004</v>
      </c>
    </row>
    <row r="24" spans="1:7" x14ac:dyDescent="0.2">
      <c r="A24" s="11" t="s">
        <v>511</v>
      </c>
      <c r="B24" s="32">
        <v>0.39859899999999998</v>
      </c>
      <c r="C24" s="32">
        <v>0.43163200000000002</v>
      </c>
      <c r="D24" s="32">
        <v>0.31812000000000001</v>
      </c>
      <c r="E24" s="32">
        <v>0.37556400000000001</v>
      </c>
      <c r="F24" s="32">
        <v>0.39136199999999999</v>
      </c>
      <c r="G24" s="32">
        <v>0.376328</v>
      </c>
    </row>
    <row r="25" spans="1:7" x14ac:dyDescent="0.2">
      <c r="A25" s="11" t="s">
        <v>512</v>
      </c>
      <c r="B25" s="32">
        <v>0.37069600000000003</v>
      </c>
      <c r="C25" s="32">
        <v>0.38581199999999999</v>
      </c>
      <c r="D25" s="32">
        <v>0.31454199999999999</v>
      </c>
      <c r="E25" s="32">
        <v>0.32774199999999998</v>
      </c>
      <c r="F25" s="32">
        <v>0.33087100000000003</v>
      </c>
      <c r="G25" s="32">
        <v>0.332901</v>
      </c>
    </row>
    <row r="26" spans="1:7" x14ac:dyDescent="0.2">
      <c r="A26" s="11" t="s">
        <v>513</v>
      </c>
      <c r="B26" s="32">
        <v>0.427952</v>
      </c>
      <c r="C26" s="32">
        <v>0.35686099999999998</v>
      </c>
      <c r="D26" s="32">
        <v>0.947994</v>
      </c>
      <c r="E26" s="32">
        <v>0.62267700000000004</v>
      </c>
      <c r="F26" s="32">
        <v>6.6293000000000005E-2</v>
      </c>
      <c r="G26" s="32">
        <v>0.373415</v>
      </c>
    </row>
    <row r="27" spans="1:7" x14ac:dyDescent="0.2">
      <c r="A27" s="11" t="s">
        <v>514</v>
      </c>
      <c r="B27" s="32">
        <v>0.42737900000000001</v>
      </c>
      <c r="C27" s="32">
        <v>0.35431000000000001</v>
      </c>
      <c r="D27" s="32">
        <v>0.94606199999999996</v>
      </c>
      <c r="E27" s="32">
        <v>0.61854600000000004</v>
      </c>
      <c r="F27" s="32">
        <v>7.2915999999999995E-2</v>
      </c>
      <c r="G27" s="32">
        <v>0.36686800000000003</v>
      </c>
    </row>
    <row r="28" spans="1:7" x14ac:dyDescent="0.2">
      <c r="A28" s="11" t="s">
        <v>515</v>
      </c>
      <c r="B28" s="32">
        <v>0.368923</v>
      </c>
      <c r="C28" s="32">
        <v>0.291132</v>
      </c>
      <c r="D28" s="32">
        <v>0.91807899999999998</v>
      </c>
      <c r="E28" s="32">
        <v>0.59769099999999997</v>
      </c>
      <c r="F28" s="32">
        <v>5.7056000000000003E-2</v>
      </c>
      <c r="G28" s="32">
        <v>0.35255999999999998</v>
      </c>
    </row>
    <row r="29" spans="1:7" x14ac:dyDescent="0.2">
      <c r="A29" s="11" t="s">
        <v>516</v>
      </c>
      <c r="B29" s="32">
        <v>0.19226499999999999</v>
      </c>
      <c r="C29" s="32">
        <v>0.201816</v>
      </c>
      <c r="D29" s="32">
        <v>0.13155700000000001</v>
      </c>
      <c r="E29" s="32">
        <v>0.16572799999999999</v>
      </c>
      <c r="F29" s="32">
        <v>0.18790999999999999</v>
      </c>
      <c r="G29" s="32">
        <v>0.22106300000000001</v>
      </c>
    </row>
    <row r="30" spans="1:7" x14ac:dyDescent="0.2">
      <c r="A30" s="11" t="s">
        <v>517</v>
      </c>
      <c r="B30" s="32">
        <v>0.40349200000000002</v>
      </c>
      <c r="C30" s="32">
        <v>0.39769399999999999</v>
      </c>
      <c r="D30" s="32">
        <v>0.22326199999999999</v>
      </c>
      <c r="E30" s="32">
        <v>0.43528699999999998</v>
      </c>
      <c r="F30" s="32">
        <v>0.35607</v>
      </c>
      <c r="G30" s="32">
        <v>0.44805600000000001</v>
      </c>
    </row>
    <row r="31" spans="1:7" x14ac:dyDescent="0.2">
      <c r="A31" s="11" t="s">
        <v>518</v>
      </c>
      <c r="B31" s="32">
        <v>0.50187000000000004</v>
      </c>
      <c r="C31" s="32">
        <v>0.49336600000000003</v>
      </c>
      <c r="D31" s="32">
        <v>0.33368399999999998</v>
      </c>
      <c r="E31" s="32">
        <v>0.528783</v>
      </c>
      <c r="F31" s="32">
        <v>0.43812499999999999</v>
      </c>
      <c r="G31" s="32">
        <v>0.53573999999999999</v>
      </c>
    </row>
    <row r="32" spans="1:7" x14ac:dyDescent="0.2">
      <c r="A32" s="11"/>
      <c r="B32" s="11"/>
      <c r="C32" s="11"/>
      <c r="D32" s="11"/>
      <c r="E32" s="11"/>
      <c r="F32" s="11"/>
      <c r="G32" s="11"/>
    </row>
    <row r="33" spans="1:7" x14ac:dyDescent="0.2">
      <c r="A33" s="9" t="s">
        <v>519</v>
      </c>
      <c r="B33" s="11"/>
      <c r="C33" s="11"/>
      <c r="D33" s="11"/>
      <c r="E33" s="11"/>
      <c r="F33" s="11"/>
      <c r="G33" s="11"/>
    </row>
    <row r="34" spans="1:7" x14ac:dyDescent="0.2">
      <c r="A34" s="11" t="s">
        <v>520</v>
      </c>
      <c r="B34" s="24">
        <v>0.102338</v>
      </c>
      <c r="C34" s="24">
        <v>0.105367</v>
      </c>
      <c r="D34" s="24">
        <v>9.3566999999999997E-2</v>
      </c>
      <c r="E34" s="24">
        <v>9.0748999999999996E-2</v>
      </c>
      <c r="F34" s="24">
        <v>9.5227000000000006E-2</v>
      </c>
      <c r="G34" s="24">
        <v>9.8802000000000001E-2</v>
      </c>
    </row>
    <row r="35" spans="1:7" x14ac:dyDescent="0.2">
      <c r="A35" s="11" t="s">
        <v>521</v>
      </c>
      <c r="B35" s="24">
        <v>0.12149600000000001</v>
      </c>
      <c r="C35" s="24">
        <v>0.12433</v>
      </c>
      <c r="D35" s="24">
        <v>0.113145</v>
      </c>
      <c r="E35" s="24">
        <v>0.11343</v>
      </c>
      <c r="F35" s="24">
        <v>0.116963</v>
      </c>
      <c r="G35" s="24">
        <v>0.11982</v>
      </c>
    </row>
    <row r="36" spans="1:7" x14ac:dyDescent="0.2">
      <c r="A36" s="11" t="s">
        <v>522</v>
      </c>
      <c r="B36" s="24">
        <v>6.2239300000000002</v>
      </c>
      <c r="C36" s="24">
        <v>5.7481900000000001</v>
      </c>
      <c r="D36" s="24">
        <v>4.8856979999999997</v>
      </c>
      <c r="E36" s="24">
        <v>6.0204050000000002</v>
      </c>
      <c r="F36" s="24">
        <v>6.6398809999999999</v>
      </c>
      <c r="G36" s="24">
        <v>6.1543979999999996</v>
      </c>
    </row>
    <row r="37" spans="1:7" x14ac:dyDescent="0.2">
      <c r="A37" s="11" t="s">
        <v>523</v>
      </c>
      <c r="B37" s="18" t="s">
        <v>36</v>
      </c>
      <c r="C37" s="18" t="s">
        <v>36</v>
      </c>
      <c r="D37" s="18" t="s">
        <v>36</v>
      </c>
      <c r="E37" s="18" t="s">
        <v>36</v>
      </c>
      <c r="F37" s="18" t="s">
        <v>36</v>
      </c>
      <c r="G37" s="18" t="s">
        <v>36</v>
      </c>
    </row>
    <row r="38" spans="1:7" x14ac:dyDescent="0.2">
      <c r="A38" s="11"/>
      <c r="B38" s="11"/>
      <c r="C38" s="11"/>
      <c r="D38" s="11"/>
      <c r="E38" s="11"/>
      <c r="F38" s="11"/>
      <c r="G38" s="11"/>
    </row>
    <row r="39" spans="1:7" x14ac:dyDescent="0.2">
      <c r="A39" s="9" t="s">
        <v>524</v>
      </c>
      <c r="B39" s="11"/>
      <c r="C39" s="11"/>
      <c r="D39" s="11"/>
      <c r="E39" s="11"/>
      <c r="F39" s="11"/>
      <c r="G39" s="11"/>
    </row>
    <row r="40" spans="1:7" x14ac:dyDescent="0.2">
      <c r="A40" s="11" t="s">
        <v>525</v>
      </c>
      <c r="B40" s="24">
        <v>1.131548</v>
      </c>
      <c r="C40" s="24">
        <v>1.1561630000000001</v>
      </c>
      <c r="D40" s="24">
        <v>3.375219</v>
      </c>
      <c r="E40" s="24">
        <v>2.6114660000000001</v>
      </c>
      <c r="F40" s="24">
        <v>2.394447</v>
      </c>
      <c r="G40" s="24">
        <v>4.2336919999999996</v>
      </c>
    </row>
    <row r="41" spans="1:7" x14ac:dyDescent="0.2">
      <c r="A41" s="11" t="s">
        <v>526</v>
      </c>
      <c r="B41" s="24">
        <v>1.0751850000000001</v>
      </c>
      <c r="C41" s="24">
        <v>1.1561630000000001</v>
      </c>
      <c r="D41" s="24">
        <v>3.375219</v>
      </c>
      <c r="E41" s="24">
        <v>2.6114660000000001</v>
      </c>
      <c r="F41" s="24">
        <v>2.1303030000000001</v>
      </c>
      <c r="G41" s="24">
        <v>4.2336919999999996</v>
      </c>
    </row>
    <row r="42" spans="1:7" x14ac:dyDescent="0.2">
      <c r="A42" s="11" t="s">
        <v>527</v>
      </c>
      <c r="B42" s="24">
        <v>2.090462</v>
      </c>
      <c r="C42" s="24">
        <v>1.969347</v>
      </c>
      <c r="D42" s="24">
        <v>3.8855309999999998</v>
      </c>
      <c r="E42" s="24">
        <v>2.74234</v>
      </c>
      <c r="F42" s="24">
        <v>4.040114</v>
      </c>
      <c r="G42" s="24">
        <v>4.1570109999999998</v>
      </c>
    </row>
    <row r="43" spans="1:7" x14ac:dyDescent="0.2">
      <c r="A43" s="11" t="s">
        <v>528</v>
      </c>
      <c r="B43" s="19">
        <v>58.644550000000002</v>
      </c>
      <c r="C43" s="19">
        <v>63.497954999999997</v>
      </c>
      <c r="D43" s="19">
        <v>74.912514000000002</v>
      </c>
      <c r="E43" s="19">
        <v>60.626865000000002</v>
      </c>
      <c r="F43" s="19">
        <v>54.970824999999998</v>
      </c>
      <c r="G43" s="19">
        <v>59.307025000000003</v>
      </c>
    </row>
    <row r="44" spans="1:7" x14ac:dyDescent="0.2">
      <c r="A44" s="11" t="s">
        <v>529</v>
      </c>
      <c r="B44" s="19" t="s">
        <v>36</v>
      </c>
      <c r="C44" s="19" t="s">
        <v>36</v>
      </c>
      <c r="D44" s="19" t="s">
        <v>36</v>
      </c>
      <c r="E44" s="19" t="s">
        <v>36</v>
      </c>
      <c r="F44" s="19" t="s">
        <v>36</v>
      </c>
      <c r="G44" s="19" t="s">
        <v>36</v>
      </c>
    </row>
    <row r="45" spans="1:7" x14ac:dyDescent="0.2">
      <c r="A45" s="11" t="s">
        <v>530</v>
      </c>
      <c r="B45" s="19">
        <v>200.29995500000001</v>
      </c>
      <c r="C45" s="19">
        <v>186.85116500000001</v>
      </c>
      <c r="D45" s="19">
        <v>168.897288</v>
      </c>
      <c r="E45" s="19">
        <v>160.16455500000001</v>
      </c>
      <c r="F45" s="19">
        <v>147.16763499999999</v>
      </c>
      <c r="G45" s="19">
        <v>139.009885</v>
      </c>
    </row>
    <row r="46" spans="1:7" x14ac:dyDescent="0.2">
      <c r="A46" s="11" t="s">
        <v>531</v>
      </c>
      <c r="B46" s="19" t="s">
        <v>36</v>
      </c>
      <c r="C46" s="19" t="s">
        <v>36</v>
      </c>
      <c r="D46" s="19" t="s">
        <v>36</v>
      </c>
      <c r="E46" s="19" t="s">
        <v>36</v>
      </c>
      <c r="F46" s="19" t="s">
        <v>36</v>
      </c>
      <c r="G46" s="19" t="s">
        <v>36</v>
      </c>
    </row>
    <row r="47" spans="1:7" x14ac:dyDescent="0.2">
      <c r="A47" s="11"/>
      <c r="B47" s="11"/>
      <c r="C47" s="11"/>
      <c r="D47" s="11"/>
      <c r="E47" s="11"/>
      <c r="F47" s="11"/>
      <c r="G47" s="11"/>
    </row>
    <row r="48" spans="1:7" x14ac:dyDescent="0.2">
      <c r="A48" s="9" t="s">
        <v>532</v>
      </c>
      <c r="B48" s="11"/>
      <c r="C48" s="11"/>
      <c r="D48" s="11"/>
      <c r="E48" s="11"/>
      <c r="F48" s="11"/>
      <c r="G48" s="11"/>
    </row>
    <row r="49" spans="1:7" x14ac:dyDescent="0.2">
      <c r="A49" s="11" t="s">
        <v>533</v>
      </c>
      <c r="B49" s="32">
        <v>0.89680000000000004</v>
      </c>
      <c r="C49" s="32">
        <v>1.0933170000000001</v>
      </c>
      <c r="D49" s="32">
        <v>0.95885699999999996</v>
      </c>
      <c r="E49" s="32">
        <v>0.75066500000000003</v>
      </c>
      <c r="F49" s="32">
        <v>0.74657899999999999</v>
      </c>
      <c r="G49" s="32">
        <v>0.79697899999999999</v>
      </c>
    </row>
    <row r="50" spans="1:7" x14ac:dyDescent="0.2">
      <c r="A50" s="11" t="s">
        <v>534</v>
      </c>
      <c r="B50" s="32">
        <v>0.47279599999999999</v>
      </c>
      <c r="C50" s="32">
        <v>0.522289</v>
      </c>
      <c r="D50" s="32">
        <v>0.48949799999999999</v>
      </c>
      <c r="E50" s="32">
        <v>0.428788</v>
      </c>
      <c r="F50" s="32">
        <v>0.427452</v>
      </c>
      <c r="G50" s="32">
        <v>0.44351000000000002</v>
      </c>
    </row>
    <row r="51" spans="1:7" x14ac:dyDescent="0.2">
      <c r="A51" s="11" t="s">
        <v>535</v>
      </c>
      <c r="B51" s="32">
        <v>0.89680000000000004</v>
      </c>
      <c r="C51" s="32">
        <v>1.0933170000000001</v>
      </c>
      <c r="D51" s="32">
        <v>0.95885699999999996</v>
      </c>
      <c r="E51" s="32">
        <v>0.75066500000000003</v>
      </c>
      <c r="F51" s="32">
        <v>0.74657899999999999</v>
      </c>
      <c r="G51" s="32">
        <v>0.79325299999999999</v>
      </c>
    </row>
    <row r="52" spans="1:7" x14ac:dyDescent="0.2">
      <c r="A52" s="11" t="s">
        <v>536</v>
      </c>
      <c r="B52" s="32">
        <v>0.47279599999999999</v>
      </c>
      <c r="C52" s="32">
        <v>0.522289</v>
      </c>
      <c r="D52" s="32">
        <v>0.48949799999999999</v>
      </c>
      <c r="E52" s="32">
        <v>0.428788</v>
      </c>
      <c r="F52" s="32">
        <v>0.427452</v>
      </c>
      <c r="G52" s="32">
        <v>0.44143700000000002</v>
      </c>
    </row>
    <row r="53" spans="1:7" x14ac:dyDescent="0.2">
      <c r="A53" s="11" t="s">
        <v>537</v>
      </c>
      <c r="B53" s="32">
        <v>0.50589200000000001</v>
      </c>
      <c r="C53" s="32">
        <v>0.55019899999999999</v>
      </c>
      <c r="D53" s="32">
        <v>0.510436</v>
      </c>
      <c r="E53" s="32">
        <v>0.45156499999999999</v>
      </c>
      <c r="F53" s="32">
        <v>0.45361899999999999</v>
      </c>
      <c r="G53" s="32">
        <v>0.467783</v>
      </c>
    </row>
    <row r="54" spans="1:7" x14ac:dyDescent="0.2">
      <c r="A54" s="11"/>
      <c r="B54" s="11"/>
      <c r="C54" s="11"/>
      <c r="D54" s="11"/>
      <c r="E54" s="11"/>
      <c r="F54" s="11"/>
      <c r="G54" s="11"/>
    </row>
    <row r="55" spans="1:7" x14ac:dyDescent="0.2">
      <c r="A55" s="11" t="s">
        <v>538</v>
      </c>
      <c r="B55" s="24">
        <v>2.3550520000000001</v>
      </c>
      <c r="C55" s="24">
        <v>2.5204309999999999</v>
      </c>
      <c r="D55" s="24">
        <v>1.7803359999999999</v>
      </c>
      <c r="E55" s="24">
        <v>2.19089</v>
      </c>
      <c r="F55" s="24">
        <v>2.5202070000000001</v>
      </c>
      <c r="G55" s="24">
        <v>2.3728799999999999</v>
      </c>
    </row>
    <row r="56" spans="1:7" x14ac:dyDescent="0.2">
      <c r="A56" s="11" t="s">
        <v>539</v>
      </c>
      <c r="B56" s="24">
        <v>3.9378030000000002</v>
      </c>
      <c r="C56" s="24">
        <v>4.2727190000000004</v>
      </c>
      <c r="D56" s="24">
        <v>3.2595070000000002</v>
      </c>
      <c r="E56" s="24">
        <v>4.1160370000000004</v>
      </c>
      <c r="F56" s="24">
        <v>4.7468149999999998</v>
      </c>
      <c r="G56" s="24">
        <v>4.381221</v>
      </c>
    </row>
    <row r="57" spans="1:7" x14ac:dyDescent="0.2">
      <c r="A57" s="11" t="s">
        <v>540</v>
      </c>
      <c r="B57" s="24">
        <v>3.9378030000000002</v>
      </c>
      <c r="C57" s="24">
        <v>4.2727190000000004</v>
      </c>
      <c r="D57" s="24">
        <v>3.2595070000000002</v>
      </c>
      <c r="E57" s="24">
        <v>4.1160370000000004</v>
      </c>
      <c r="F57" s="24">
        <v>4.7468149999999998</v>
      </c>
      <c r="G57" s="24">
        <v>4.381221</v>
      </c>
    </row>
    <row r="58" spans="1:7" x14ac:dyDescent="0.2">
      <c r="A58" s="11" t="s">
        <v>541</v>
      </c>
      <c r="B58" s="24">
        <v>6.7509540000000001</v>
      </c>
      <c r="C58" s="24">
        <v>7.1355810000000002</v>
      </c>
      <c r="D58" s="24">
        <v>8.9493840000000002</v>
      </c>
      <c r="E58" s="24">
        <v>9.0446430000000007</v>
      </c>
      <c r="F58" s="24">
        <v>6.753647</v>
      </c>
      <c r="G58" s="24">
        <v>7.0710740000000003</v>
      </c>
    </row>
    <row r="59" spans="1:7" x14ac:dyDescent="0.2">
      <c r="A59" s="11" t="s">
        <v>542</v>
      </c>
      <c r="B59" s="24">
        <v>6.5520759999999996</v>
      </c>
      <c r="C59" s="24">
        <v>6.9720529999999998</v>
      </c>
      <c r="D59" s="24">
        <v>8.4681280000000001</v>
      </c>
      <c r="E59" s="24">
        <v>8.6463380000000001</v>
      </c>
      <c r="F59" s="24">
        <v>6.61449</v>
      </c>
      <c r="G59" s="24">
        <v>6.3560889999999999</v>
      </c>
    </row>
    <row r="60" spans="1:7" x14ac:dyDescent="0.2">
      <c r="A60" s="11"/>
      <c r="B60" s="11"/>
      <c r="C60" s="11"/>
      <c r="D60" s="11"/>
      <c r="E60" s="11"/>
      <c r="F60" s="11"/>
      <c r="G60" s="11"/>
    </row>
    <row r="61" spans="1:7" x14ac:dyDescent="0.2">
      <c r="A61" s="11" t="s">
        <v>543</v>
      </c>
      <c r="B61" s="24">
        <v>6.7509540000000001</v>
      </c>
      <c r="C61" s="24">
        <v>7.1355810000000002</v>
      </c>
      <c r="D61" s="24">
        <v>8.9493840000000002</v>
      </c>
      <c r="E61" s="24">
        <v>9.0446430000000007</v>
      </c>
      <c r="F61" s="24">
        <v>6.753647</v>
      </c>
      <c r="G61" s="24">
        <v>7.0710740000000003</v>
      </c>
    </row>
    <row r="62" spans="1:7" x14ac:dyDescent="0.2">
      <c r="A62" s="11" t="s">
        <v>544</v>
      </c>
      <c r="B62" s="24">
        <v>6.5520759999999996</v>
      </c>
      <c r="C62" s="24">
        <v>6.9720529999999998</v>
      </c>
      <c r="D62" s="24">
        <v>8.4681280000000001</v>
      </c>
      <c r="E62" s="24">
        <v>8.6463380000000001</v>
      </c>
      <c r="F62" s="24">
        <v>6.61449</v>
      </c>
      <c r="G62" s="24">
        <v>6.3560889999999999</v>
      </c>
    </row>
    <row r="63" spans="1:7" x14ac:dyDescent="0.2">
      <c r="A63" s="11"/>
      <c r="B63" s="11"/>
      <c r="C63" s="11"/>
      <c r="D63" s="11"/>
      <c r="E63" s="11"/>
      <c r="F63" s="11"/>
      <c r="G63" s="11"/>
    </row>
    <row r="64" spans="1:7" x14ac:dyDescent="0.2">
      <c r="A64" s="9" t="s">
        <v>545</v>
      </c>
      <c r="B64" s="11"/>
      <c r="C64" s="11"/>
      <c r="D64" s="11"/>
      <c r="E64" s="11"/>
      <c r="F64" s="11"/>
      <c r="G64" s="11"/>
    </row>
    <row r="65" spans="1:7" x14ac:dyDescent="0.2">
      <c r="A65" s="11" t="s">
        <v>104</v>
      </c>
      <c r="B65" s="32">
        <v>-3.0040000000000001E-2</v>
      </c>
      <c r="C65" s="32">
        <v>-5.0470000000000003E-3</v>
      </c>
      <c r="D65" s="32">
        <v>-8.7146000000000001E-2</v>
      </c>
      <c r="E65" s="32">
        <v>0.289908</v>
      </c>
      <c r="F65" s="32">
        <v>0.26608700000000002</v>
      </c>
      <c r="G65" s="32">
        <v>3.2247999999999999E-2</v>
      </c>
    </row>
    <row r="66" spans="1:7" x14ac:dyDescent="0.2">
      <c r="A66" s="11" t="s">
        <v>546</v>
      </c>
      <c r="B66" s="32">
        <v>-3.0984999999999999E-2</v>
      </c>
      <c r="C66" s="32">
        <v>-1.7066000000000001E-2</v>
      </c>
      <c r="D66" s="32">
        <v>-0.130192</v>
      </c>
      <c r="E66" s="32">
        <v>0.32416</v>
      </c>
      <c r="F66" s="32">
        <v>0.26419100000000001</v>
      </c>
      <c r="G66" s="32">
        <v>2.4986999999999999E-2</v>
      </c>
    </row>
    <row r="67" spans="1:7" x14ac:dyDescent="0.2">
      <c r="A67" s="11" t="s">
        <v>547</v>
      </c>
      <c r="B67" s="32">
        <v>-3.8705000000000003E-2</v>
      </c>
      <c r="C67" s="32">
        <v>2.9555000000000001E-2</v>
      </c>
      <c r="D67" s="32">
        <v>-0.19817199999999999</v>
      </c>
      <c r="E67" s="32">
        <v>0.38359199999999999</v>
      </c>
      <c r="F67" s="32">
        <v>0.28491</v>
      </c>
      <c r="G67" s="32">
        <v>1.8554000000000001E-2</v>
      </c>
    </row>
    <row r="68" spans="1:7" x14ac:dyDescent="0.2">
      <c r="A68" s="11" t="s">
        <v>548</v>
      </c>
      <c r="B68" s="32">
        <v>1.4782E-2</v>
      </c>
      <c r="C68" s="32">
        <v>7.7409000000000006E-2</v>
      </c>
      <c r="D68" s="32">
        <v>-0.327212</v>
      </c>
      <c r="E68" s="32">
        <v>0.52283400000000002</v>
      </c>
      <c r="F68" s="32">
        <v>0.31934200000000001</v>
      </c>
      <c r="G68" s="32">
        <v>-7.404E-3</v>
      </c>
    </row>
    <row r="69" spans="1:7" x14ac:dyDescent="0.2">
      <c r="A69" s="11" t="s">
        <v>549</v>
      </c>
      <c r="B69" s="32">
        <v>5.2309000000000001E-2</v>
      </c>
      <c r="C69" s="32">
        <v>3.5525000000000001E-2</v>
      </c>
      <c r="D69" s="32">
        <v>-0.25577499999999997</v>
      </c>
      <c r="E69" s="32">
        <v>0.34404299999999999</v>
      </c>
      <c r="F69" s="32">
        <v>0.27817199999999997</v>
      </c>
      <c r="G69" s="32">
        <v>3.8582999999999999E-2</v>
      </c>
    </row>
    <row r="70" spans="1:7" x14ac:dyDescent="0.2">
      <c r="A70" s="11" t="s">
        <v>127</v>
      </c>
      <c r="B70" s="32">
        <v>0.133718</v>
      </c>
      <c r="C70" s="32">
        <v>-0.17032800000000001</v>
      </c>
      <c r="D70" s="32">
        <v>1.424979</v>
      </c>
      <c r="E70" s="32">
        <v>-0.15274199999999999</v>
      </c>
      <c r="F70" s="32">
        <v>-0.86520600000000003</v>
      </c>
      <c r="G70" s="32">
        <v>4.8144210000000003</v>
      </c>
    </row>
    <row r="71" spans="1:7" x14ac:dyDescent="0.2">
      <c r="A71" s="11" t="s">
        <v>132</v>
      </c>
      <c r="B71" s="32">
        <v>0.168327</v>
      </c>
      <c r="C71" s="32">
        <v>-0.175153</v>
      </c>
      <c r="D71" s="32">
        <v>1.437459</v>
      </c>
      <c r="E71" s="32">
        <v>-0.15664400000000001</v>
      </c>
      <c r="F71" s="32">
        <v>-0.85075000000000001</v>
      </c>
      <c r="G71" s="32">
        <v>4.193632</v>
      </c>
    </row>
    <row r="72" spans="1:7" x14ac:dyDescent="0.2">
      <c r="A72" s="11" t="s">
        <v>550</v>
      </c>
      <c r="B72" s="32">
        <v>0.17241300000000001</v>
      </c>
      <c r="C72" s="32">
        <v>-0.21573400000000001</v>
      </c>
      <c r="D72" s="32">
        <v>1.813296</v>
      </c>
      <c r="E72" s="32">
        <v>-0.28863800000000001</v>
      </c>
      <c r="F72" s="32">
        <v>-0.90005800000000002</v>
      </c>
      <c r="G72" s="32">
        <v>5.3572620000000004</v>
      </c>
    </row>
    <row r="73" spans="1:7" x14ac:dyDescent="0.2">
      <c r="A73" s="11"/>
      <c r="B73" s="11"/>
      <c r="C73" s="11"/>
      <c r="D73" s="11"/>
      <c r="E73" s="11"/>
      <c r="F73" s="11"/>
      <c r="G73" s="11"/>
    </row>
    <row r="74" spans="1:7" x14ac:dyDescent="0.2">
      <c r="A74" s="11" t="s">
        <v>551</v>
      </c>
      <c r="B74" s="32">
        <v>9.6005999999999994E-2</v>
      </c>
      <c r="C74" s="32">
        <v>4.4374999999999998E-2</v>
      </c>
      <c r="D74" s="32">
        <v>-0.404941</v>
      </c>
      <c r="E74" s="32">
        <v>0.62495299999999998</v>
      </c>
      <c r="F74" s="32">
        <v>0.43554900000000002</v>
      </c>
      <c r="G74" s="32">
        <v>0.214365</v>
      </c>
    </row>
    <row r="75" spans="1:7" x14ac:dyDescent="0.2">
      <c r="A75" s="11" t="s">
        <v>552</v>
      </c>
      <c r="B75" s="32">
        <v>-6.3271999999999995E-2</v>
      </c>
      <c r="C75" s="32">
        <v>1.0229E-2</v>
      </c>
      <c r="D75" s="32">
        <v>-3.9690000000000003E-3</v>
      </c>
      <c r="E75" s="32">
        <v>0.57845800000000003</v>
      </c>
      <c r="F75" s="32">
        <v>5.7190000000000001E-3</v>
      </c>
      <c r="G75" s="32">
        <v>9.5329999999999998E-3</v>
      </c>
    </row>
    <row r="76" spans="1:7" x14ac:dyDescent="0.2">
      <c r="A76" s="11" t="s">
        <v>553</v>
      </c>
      <c r="B76" s="18" t="s">
        <v>36</v>
      </c>
      <c r="C76" s="18" t="s">
        <v>36</v>
      </c>
      <c r="D76" s="18" t="s">
        <v>36</v>
      </c>
      <c r="E76" s="18" t="s">
        <v>36</v>
      </c>
      <c r="F76" s="18" t="s">
        <v>36</v>
      </c>
      <c r="G76" s="18" t="s">
        <v>36</v>
      </c>
    </row>
    <row r="77" spans="1:7" x14ac:dyDescent="0.2">
      <c r="A77" s="11" t="s">
        <v>554</v>
      </c>
      <c r="B77" s="32">
        <v>-2.7557000000000002E-2</v>
      </c>
      <c r="C77" s="32">
        <v>0.18512600000000001</v>
      </c>
      <c r="D77" s="32">
        <v>-1.9758999999999999E-2</v>
      </c>
      <c r="E77" s="32">
        <v>0.11468100000000001</v>
      </c>
      <c r="F77" s="32">
        <v>0.17782600000000001</v>
      </c>
      <c r="G77" s="32">
        <v>5.9212000000000001E-2</v>
      </c>
    </row>
    <row r="78" spans="1:7" x14ac:dyDescent="0.2">
      <c r="A78" s="11" t="s">
        <v>555</v>
      </c>
      <c r="B78" s="32">
        <v>-6.4999000000000001E-2</v>
      </c>
      <c r="C78" s="32">
        <v>-1.13E-4</v>
      </c>
      <c r="D78" s="32">
        <v>5.6068E-2</v>
      </c>
      <c r="E78" s="32">
        <v>0.58932300000000004</v>
      </c>
      <c r="F78" s="32">
        <v>-3.4297000000000001E-2</v>
      </c>
      <c r="G78" s="32">
        <v>2.5125999999999999E-2</v>
      </c>
    </row>
    <row r="79" spans="1:7" x14ac:dyDescent="0.2">
      <c r="A79" s="11"/>
      <c r="B79" s="11"/>
      <c r="C79" s="11"/>
      <c r="D79" s="11"/>
      <c r="E79" s="11"/>
      <c r="F79" s="11"/>
      <c r="G79" s="11"/>
    </row>
    <row r="80" spans="1:7" x14ac:dyDescent="0.2">
      <c r="A80" s="11" t="s">
        <v>556</v>
      </c>
      <c r="B80" s="32">
        <v>-1.1205E-2</v>
      </c>
      <c r="C80" s="32">
        <v>-8.7910000000000002E-2</v>
      </c>
      <c r="D80" s="32">
        <v>0.152758</v>
      </c>
      <c r="E80" s="32">
        <v>0.76521499999999998</v>
      </c>
      <c r="F80" s="32">
        <v>-3.8779000000000001E-2</v>
      </c>
      <c r="G80" s="32">
        <v>1.0460000000000001E-3</v>
      </c>
    </row>
    <row r="81" spans="1:7" x14ac:dyDescent="0.2">
      <c r="A81" s="11" t="s">
        <v>557</v>
      </c>
      <c r="B81" s="32">
        <v>6.6509999999999998E-3</v>
      </c>
      <c r="C81" s="32">
        <v>-8.3590999999999999E-2</v>
      </c>
      <c r="D81" s="32">
        <v>0.16308400000000001</v>
      </c>
      <c r="E81" s="32">
        <v>0.72032200000000002</v>
      </c>
      <c r="F81" s="32">
        <v>-3.0093999999999999E-2</v>
      </c>
      <c r="G81" s="32">
        <v>7.084E-3</v>
      </c>
    </row>
    <row r="82" spans="1:7" x14ac:dyDescent="0.2">
      <c r="A82" s="11" t="s">
        <v>278</v>
      </c>
      <c r="B82" s="32">
        <v>3.8677000000000003E-2</v>
      </c>
      <c r="C82" s="32">
        <v>-8.5130999999999998E-2</v>
      </c>
      <c r="D82" s="32">
        <v>1.0768E-2</v>
      </c>
      <c r="E82" s="32">
        <v>4.9095E-2</v>
      </c>
      <c r="F82" s="32">
        <v>0.39141799999999999</v>
      </c>
      <c r="G82" s="32">
        <v>0.24444199999999999</v>
      </c>
    </row>
    <row r="83" spans="1:7" x14ac:dyDescent="0.2">
      <c r="A83" s="11" t="s">
        <v>558</v>
      </c>
      <c r="B83" s="18" t="s">
        <v>36</v>
      </c>
      <c r="C83" s="18" t="s">
        <v>36</v>
      </c>
      <c r="D83" s="18" t="s">
        <v>36</v>
      </c>
      <c r="E83" s="18" t="s">
        <v>36</v>
      </c>
      <c r="F83" s="18" t="s">
        <v>36</v>
      </c>
      <c r="G83" s="18" t="s">
        <v>36</v>
      </c>
    </row>
    <row r="84" spans="1:7" x14ac:dyDescent="0.2">
      <c r="A84" s="11" t="s">
        <v>559</v>
      </c>
      <c r="B84" s="32">
        <v>-9.1555999999999998E-2</v>
      </c>
      <c r="C84" s="32">
        <v>-1.9342000000000002E-2</v>
      </c>
      <c r="D84" s="32">
        <v>-0.48753099999999999</v>
      </c>
      <c r="E84" s="32">
        <v>1.514888</v>
      </c>
      <c r="F84" s="32">
        <v>3.5674999999999998E-2</v>
      </c>
      <c r="G84" s="32">
        <v>0.29891600000000002</v>
      </c>
    </row>
    <row r="85" spans="1:7" x14ac:dyDescent="0.2">
      <c r="A85" s="11" t="s">
        <v>560</v>
      </c>
      <c r="B85" s="32">
        <v>-8.2770999999999997E-2</v>
      </c>
      <c r="C85" s="32">
        <v>-2.1905999999999998E-2</v>
      </c>
      <c r="D85" s="32">
        <v>-0.38259700000000002</v>
      </c>
      <c r="E85" s="32">
        <v>1.044089</v>
      </c>
      <c r="F85" s="32">
        <v>4.9020000000000001E-2</v>
      </c>
      <c r="G85" s="32">
        <v>0.26223600000000002</v>
      </c>
    </row>
    <row r="86" spans="1:7" x14ac:dyDescent="0.2">
      <c r="A86" s="11" t="s">
        <v>561</v>
      </c>
      <c r="B86" s="32">
        <v>2.7522000000000001E-2</v>
      </c>
      <c r="C86" s="32">
        <v>0</v>
      </c>
      <c r="D86" s="32">
        <v>-0.51785800000000004</v>
      </c>
      <c r="E86" s="32">
        <v>0.25925900000000002</v>
      </c>
      <c r="F86" s="32">
        <v>0.235294</v>
      </c>
      <c r="G86" s="32">
        <v>0.107142</v>
      </c>
    </row>
    <row r="87" spans="1:7" x14ac:dyDescent="0.2">
      <c r="A87" s="11"/>
      <c r="B87" s="11"/>
      <c r="C87" s="11"/>
      <c r="D87" s="11"/>
      <c r="E87" s="11"/>
      <c r="F87" s="11"/>
      <c r="G87" s="11"/>
    </row>
    <row r="88" spans="1:7" x14ac:dyDescent="0.2">
      <c r="A88" s="9" t="s">
        <v>562</v>
      </c>
      <c r="B88" s="11"/>
      <c r="C88" s="11"/>
      <c r="D88" s="11"/>
      <c r="E88" s="11"/>
      <c r="F88" s="11"/>
      <c r="G88" s="11"/>
    </row>
    <row r="89" spans="1:7" x14ac:dyDescent="0.2">
      <c r="A89" s="11" t="s">
        <v>104</v>
      </c>
      <c r="B89" s="32">
        <v>-2.5790000000000001E-3</v>
      </c>
      <c r="C89" s="32">
        <v>-1.7623E-2</v>
      </c>
      <c r="D89" s="32">
        <v>-4.6980000000000001E-2</v>
      </c>
      <c r="E89" s="32">
        <v>8.5125999999999993E-2</v>
      </c>
      <c r="F89" s="32">
        <v>0.27794200000000002</v>
      </c>
      <c r="G89" s="32">
        <v>0.143205</v>
      </c>
    </row>
    <row r="90" spans="1:7" x14ac:dyDescent="0.2">
      <c r="A90" s="11" t="s">
        <v>546</v>
      </c>
      <c r="B90" s="32">
        <v>-3.3110000000000001E-3</v>
      </c>
      <c r="C90" s="32">
        <v>-2.4049999999999998E-2</v>
      </c>
      <c r="D90" s="32">
        <v>-7.5356999999999993E-2</v>
      </c>
      <c r="E90" s="32">
        <v>7.3203000000000004E-2</v>
      </c>
      <c r="F90" s="32">
        <v>0.29382799999999998</v>
      </c>
      <c r="G90" s="32">
        <v>0.138323</v>
      </c>
    </row>
    <row r="91" spans="1:7" x14ac:dyDescent="0.2">
      <c r="A91" s="11" t="s">
        <v>547</v>
      </c>
      <c r="B91" s="32">
        <v>1.6899999999999999E-4</v>
      </c>
      <c r="C91" s="32">
        <v>-5.1599999999999997E-3</v>
      </c>
      <c r="D91" s="32">
        <v>-9.1414999999999996E-2</v>
      </c>
      <c r="E91" s="32">
        <v>5.3282000000000003E-2</v>
      </c>
      <c r="F91" s="32">
        <v>0.333339</v>
      </c>
      <c r="G91" s="32">
        <v>0.144006</v>
      </c>
    </row>
    <row r="92" spans="1:7" x14ac:dyDescent="0.2">
      <c r="A92" s="11" t="s">
        <v>548</v>
      </c>
      <c r="B92" s="32">
        <v>2.606E-2</v>
      </c>
      <c r="C92" s="32">
        <v>4.5627000000000001E-2</v>
      </c>
      <c r="D92" s="32">
        <v>-0.14860799999999999</v>
      </c>
      <c r="E92" s="32">
        <v>1.2198000000000001E-2</v>
      </c>
      <c r="F92" s="32">
        <v>0.41744100000000001</v>
      </c>
      <c r="G92" s="32">
        <v>0.14436599999999999</v>
      </c>
    </row>
    <row r="93" spans="1:7" x14ac:dyDescent="0.2">
      <c r="A93" s="11" t="s">
        <v>549</v>
      </c>
      <c r="B93" s="32">
        <v>4.4470000000000003E-2</v>
      </c>
      <c r="C93" s="32">
        <v>4.3883999999999999E-2</v>
      </c>
      <c r="D93" s="32">
        <v>-0.122125</v>
      </c>
      <c r="E93" s="32">
        <v>1.35E-4</v>
      </c>
      <c r="F93" s="32">
        <v>0.31069400000000003</v>
      </c>
      <c r="G93" s="32">
        <v>0.152167</v>
      </c>
    </row>
    <row r="94" spans="1:7" x14ac:dyDescent="0.2">
      <c r="A94" s="11" t="s">
        <v>127</v>
      </c>
      <c r="B94" s="32">
        <v>0.13617499999999999</v>
      </c>
      <c r="C94" s="32">
        <v>-3.0147E-2</v>
      </c>
      <c r="D94" s="32">
        <v>0.41842800000000002</v>
      </c>
      <c r="E94" s="32">
        <v>0.43338199999999999</v>
      </c>
      <c r="F94" s="32">
        <v>-0.66205800000000004</v>
      </c>
      <c r="G94" s="32">
        <v>-0.114704</v>
      </c>
    </row>
    <row r="95" spans="1:7" x14ac:dyDescent="0.2">
      <c r="A95" s="11" t="s">
        <v>132</v>
      </c>
      <c r="B95" s="32">
        <v>0.146282</v>
      </c>
      <c r="C95" s="32">
        <v>-1.8322000000000001E-2</v>
      </c>
      <c r="D95" s="32">
        <v>0.41793200000000003</v>
      </c>
      <c r="E95" s="32">
        <v>0.433753</v>
      </c>
      <c r="F95" s="32">
        <v>-0.64521700000000004</v>
      </c>
      <c r="G95" s="32">
        <v>-0.119574</v>
      </c>
    </row>
    <row r="96" spans="1:7" x14ac:dyDescent="0.2">
      <c r="A96" s="11" t="s">
        <v>550</v>
      </c>
      <c r="B96" s="32">
        <v>0.13628299999999999</v>
      </c>
      <c r="C96" s="32">
        <v>-4.1102E-2</v>
      </c>
      <c r="D96" s="32">
        <v>0.48538700000000001</v>
      </c>
      <c r="E96" s="32">
        <v>0.414663</v>
      </c>
      <c r="F96" s="32">
        <v>-0.73336400000000002</v>
      </c>
      <c r="G96" s="32">
        <v>-0.202905</v>
      </c>
    </row>
    <row r="97" spans="1:7" x14ac:dyDescent="0.2">
      <c r="A97" s="11"/>
      <c r="B97" s="11"/>
      <c r="C97" s="11"/>
      <c r="D97" s="11"/>
      <c r="E97" s="11"/>
      <c r="F97" s="11"/>
      <c r="G97" s="11"/>
    </row>
    <row r="98" spans="1:7" x14ac:dyDescent="0.2">
      <c r="A98" s="11" t="s">
        <v>551</v>
      </c>
      <c r="B98" s="32">
        <v>-9.9219000000000002E-2</v>
      </c>
      <c r="C98" s="32">
        <v>6.9878999999999997E-2</v>
      </c>
      <c r="D98" s="32">
        <v>-0.211669</v>
      </c>
      <c r="E98" s="32">
        <v>-1.6667000000000001E-2</v>
      </c>
      <c r="F98" s="32">
        <v>0.52731799999999995</v>
      </c>
      <c r="G98" s="32">
        <v>0.32033400000000001</v>
      </c>
    </row>
    <row r="99" spans="1:7" x14ac:dyDescent="0.2">
      <c r="A99" s="11" t="s">
        <v>552</v>
      </c>
      <c r="B99" s="32">
        <v>-6.025E-3</v>
      </c>
      <c r="C99" s="32">
        <v>-2.7215E-2</v>
      </c>
      <c r="D99" s="32">
        <v>3.1050000000000001E-3</v>
      </c>
      <c r="E99" s="32">
        <v>0.25387100000000001</v>
      </c>
      <c r="F99" s="32">
        <v>0.25995499999999999</v>
      </c>
      <c r="G99" s="32">
        <v>7.6239999999999997E-3</v>
      </c>
    </row>
    <row r="100" spans="1:7" x14ac:dyDescent="0.2">
      <c r="A100" s="11" t="s">
        <v>553</v>
      </c>
      <c r="B100" s="18" t="s">
        <v>36</v>
      </c>
      <c r="C100" s="18" t="s">
        <v>36</v>
      </c>
      <c r="D100" s="18" t="s">
        <v>36</v>
      </c>
      <c r="E100" s="18" t="s">
        <v>36</v>
      </c>
      <c r="F100" s="18" t="s">
        <v>36</v>
      </c>
      <c r="G100" s="18" t="s">
        <v>36</v>
      </c>
    </row>
    <row r="101" spans="1:7" x14ac:dyDescent="0.2">
      <c r="A101" s="11" t="s">
        <v>554</v>
      </c>
      <c r="B101" s="32">
        <v>7.4110000000000001E-3</v>
      </c>
      <c r="C101" s="32">
        <v>7.3530999999999999E-2</v>
      </c>
      <c r="D101" s="32">
        <v>7.7826000000000006E-2</v>
      </c>
      <c r="E101" s="32">
        <v>4.5302000000000002E-2</v>
      </c>
      <c r="F101" s="32">
        <v>0.145819</v>
      </c>
      <c r="G101" s="32">
        <v>0.11694599999999999</v>
      </c>
    </row>
    <row r="102" spans="1:7" x14ac:dyDescent="0.2">
      <c r="A102" s="11" t="s">
        <v>555</v>
      </c>
      <c r="B102" s="32">
        <v>-1.0361E-2</v>
      </c>
      <c r="C102" s="32">
        <v>-3.3099999999999997E-2</v>
      </c>
      <c r="D102" s="32">
        <v>2.7594E-2</v>
      </c>
      <c r="E102" s="32">
        <v>0.29554399999999997</v>
      </c>
      <c r="F102" s="32">
        <v>0.23887700000000001</v>
      </c>
      <c r="G102" s="32">
        <v>-5.0289999999999996E-3</v>
      </c>
    </row>
    <row r="103" spans="1:7" x14ac:dyDescent="0.2">
      <c r="A103" s="11"/>
      <c r="B103" s="11"/>
      <c r="C103" s="11"/>
      <c r="D103" s="11"/>
      <c r="E103" s="11"/>
      <c r="F103" s="11"/>
      <c r="G103" s="11"/>
    </row>
    <row r="104" spans="1:7" x14ac:dyDescent="0.2">
      <c r="A104" s="11" t="s">
        <v>556</v>
      </c>
      <c r="B104" s="32">
        <v>7.3600000000000002E-3</v>
      </c>
      <c r="C104" s="32">
        <v>-5.0332000000000002E-2</v>
      </c>
      <c r="D104" s="32">
        <v>2.5388000000000001E-2</v>
      </c>
      <c r="E104" s="32">
        <v>0.42648799999999998</v>
      </c>
      <c r="F104" s="32">
        <v>0.30259900000000001</v>
      </c>
      <c r="G104" s="32">
        <v>-1.9068000000000002E-2</v>
      </c>
    </row>
    <row r="105" spans="1:7" x14ac:dyDescent="0.2">
      <c r="A105" s="11" t="s">
        <v>557</v>
      </c>
      <c r="B105" s="32">
        <v>1.8815999999999999E-2</v>
      </c>
      <c r="C105" s="32">
        <v>-3.9529000000000002E-2</v>
      </c>
      <c r="D105" s="32">
        <v>3.2405999999999997E-2</v>
      </c>
      <c r="E105" s="32">
        <v>0.41452499999999998</v>
      </c>
      <c r="F105" s="32">
        <v>0.29172399999999998</v>
      </c>
      <c r="G105" s="32">
        <v>-1.1679999999999999E-2</v>
      </c>
    </row>
    <row r="106" spans="1:7" x14ac:dyDescent="0.2">
      <c r="A106" s="11" t="s">
        <v>278</v>
      </c>
      <c r="B106" s="32">
        <v>3.7988000000000001E-2</v>
      </c>
      <c r="C106" s="32">
        <v>-2.5190000000000001E-2</v>
      </c>
      <c r="D106" s="32">
        <v>-3.8376E-2</v>
      </c>
      <c r="E106" s="32">
        <v>2.9753000000000002E-2</v>
      </c>
      <c r="F106" s="32">
        <v>0.20819299999999999</v>
      </c>
      <c r="G106" s="32">
        <v>0.31587999999999999</v>
      </c>
    </row>
    <row r="107" spans="1:7" x14ac:dyDescent="0.2">
      <c r="A107" s="11" t="s">
        <v>558</v>
      </c>
      <c r="B107" s="18" t="s">
        <v>36</v>
      </c>
      <c r="C107" s="18" t="s">
        <v>36</v>
      </c>
      <c r="D107" s="18" t="s">
        <v>36</v>
      </c>
      <c r="E107" s="18" t="s">
        <v>36</v>
      </c>
      <c r="F107" s="18" t="s">
        <v>36</v>
      </c>
      <c r="G107" s="18" t="s">
        <v>36</v>
      </c>
    </row>
    <row r="108" spans="1:7" x14ac:dyDescent="0.2">
      <c r="A108" s="11" t="s">
        <v>559</v>
      </c>
      <c r="B108" s="32">
        <v>-8.9219999999999994E-3</v>
      </c>
      <c r="C108" s="32">
        <v>-5.6139000000000001E-2</v>
      </c>
      <c r="D108" s="32">
        <v>-0.29108699999999998</v>
      </c>
      <c r="E108" s="32">
        <v>0.13525499999999999</v>
      </c>
      <c r="F108" s="32">
        <v>0.61387999999999998</v>
      </c>
      <c r="G108" s="32">
        <v>0.15985199999999999</v>
      </c>
    </row>
    <row r="109" spans="1:7" x14ac:dyDescent="0.2">
      <c r="A109" s="11" t="s">
        <v>560</v>
      </c>
      <c r="B109" s="32">
        <v>-1.1976000000000001E-2</v>
      </c>
      <c r="C109" s="32">
        <v>-5.2826999999999999E-2</v>
      </c>
      <c r="D109" s="32">
        <v>-0.22290299999999999</v>
      </c>
      <c r="E109" s="32">
        <v>0.1234</v>
      </c>
      <c r="F109" s="32">
        <v>0.46433999999999997</v>
      </c>
      <c r="G109" s="32">
        <v>0.150701</v>
      </c>
    </row>
    <row r="110" spans="1:7" x14ac:dyDescent="0.2">
      <c r="A110" s="11" t="s">
        <v>561</v>
      </c>
      <c r="B110" s="32">
        <v>4.0252000000000003E-2</v>
      </c>
      <c r="C110" s="32">
        <v>1.3668E-2</v>
      </c>
      <c r="D110" s="32">
        <v>-0.30563600000000002</v>
      </c>
      <c r="E110" s="32">
        <v>-0.220807</v>
      </c>
      <c r="F110" s="32">
        <v>0.24721899999999999</v>
      </c>
      <c r="G110" s="32">
        <v>0.169464</v>
      </c>
    </row>
    <row r="111" spans="1:7" x14ac:dyDescent="0.2">
      <c r="A111" s="11"/>
      <c r="B111" s="11"/>
      <c r="C111" s="11"/>
      <c r="D111" s="11"/>
      <c r="E111" s="11"/>
      <c r="F111" s="11"/>
      <c r="G111" s="11"/>
    </row>
    <row r="112" spans="1:7" x14ac:dyDescent="0.2">
      <c r="A112" s="9" t="s">
        <v>563</v>
      </c>
      <c r="B112" s="11"/>
      <c r="C112" s="11"/>
      <c r="D112" s="11"/>
      <c r="E112" s="11"/>
      <c r="F112" s="11"/>
      <c r="G112" s="11"/>
    </row>
    <row r="113" spans="1:7" x14ac:dyDescent="0.2">
      <c r="A113" s="11" t="s">
        <v>104</v>
      </c>
      <c r="B113" s="32">
        <v>-5.7399999999999997E-4</v>
      </c>
      <c r="C113" s="32">
        <v>-3.4020000000000001E-3</v>
      </c>
      <c r="D113" s="32">
        <v>-4.1366E-2</v>
      </c>
      <c r="E113" s="32">
        <v>5.4195E-2</v>
      </c>
      <c r="F113" s="32">
        <v>0.142373</v>
      </c>
      <c r="G113" s="32">
        <v>0.19015199999999999</v>
      </c>
    </row>
    <row r="114" spans="1:7" x14ac:dyDescent="0.2">
      <c r="A114" s="11" t="s">
        <v>546</v>
      </c>
      <c r="B114" s="32">
        <v>-1.0189E-2</v>
      </c>
      <c r="C114" s="32">
        <v>-7.9170000000000004E-3</v>
      </c>
      <c r="D114" s="32">
        <v>-6.0796999999999997E-2</v>
      </c>
      <c r="E114" s="32">
        <v>4.2228000000000002E-2</v>
      </c>
      <c r="F114" s="32">
        <v>0.13342300000000001</v>
      </c>
      <c r="G114" s="32">
        <v>0.19717399999999999</v>
      </c>
    </row>
    <row r="115" spans="1:7" x14ac:dyDescent="0.2">
      <c r="A115" s="11" t="s">
        <v>547</v>
      </c>
      <c r="B115" s="32">
        <v>6.0140000000000002E-3</v>
      </c>
      <c r="C115" s="32">
        <v>9.8700000000000003E-3</v>
      </c>
      <c r="D115" s="32">
        <v>-7.4174000000000004E-2</v>
      </c>
      <c r="E115" s="32">
        <v>4.5312999999999999E-2</v>
      </c>
      <c r="F115" s="32">
        <v>0.12543599999999999</v>
      </c>
      <c r="G115" s="32">
        <v>0.218863</v>
      </c>
    </row>
    <row r="116" spans="1:7" x14ac:dyDescent="0.2">
      <c r="A116" s="11" t="s">
        <v>548</v>
      </c>
      <c r="B116" s="32">
        <v>1.5332999999999999E-2</v>
      </c>
      <c r="C116" s="32">
        <v>4.2897999999999999E-2</v>
      </c>
      <c r="D116" s="32">
        <v>-9.7298999999999997E-2</v>
      </c>
      <c r="E116" s="32">
        <v>3.3484E-2</v>
      </c>
      <c r="F116" s="32">
        <v>0.10568</v>
      </c>
      <c r="G116" s="32">
        <v>0.258716</v>
      </c>
    </row>
    <row r="117" spans="1:7" x14ac:dyDescent="0.2">
      <c r="A117" s="11" t="s">
        <v>549</v>
      </c>
      <c r="B117" s="32">
        <v>3.1199999999999999E-2</v>
      </c>
      <c r="C117" s="32">
        <v>4.1480000000000003E-2</v>
      </c>
      <c r="D117" s="32">
        <v>-6.7456000000000002E-2</v>
      </c>
      <c r="E117" s="32">
        <v>1.1795E-2</v>
      </c>
      <c r="F117" s="32">
        <v>8.5347999999999993E-2</v>
      </c>
      <c r="G117" s="32">
        <v>0.212871</v>
      </c>
    </row>
    <row r="118" spans="1:7" x14ac:dyDescent="0.2">
      <c r="A118" s="11" t="s">
        <v>127</v>
      </c>
      <c r="B118" s="32">
        <v>-0.178839</v>
      </c>
      <c r="C118" s="32">
        <v>2.3133000000000001E-2</v>
      </c>
      <c r="D118" s="32">
        <v>0.31635600000000003</v>
      </c>
      <c r="E118" s="32">
        <v>0.19456599999999999</v>
      </c>
      <c r="F118" s="32">
        <v>-0.34817500000000001</v>
      </c>
      <c r="G118" s="32">
        <v>-0.12756899999999999</v>
      </c>
    </row>
    <row r="119" spans="1:7" x14ac:dyDescent="0.2">
      <c r="A119" s="11" t="s">
        <v>132</v>
      </c>
      <c r="B119" s="32">
        <v>-0.177343</v>
      </c>
      <c r="C119" s="32">
        <v>2.7192999999999998E-2</v>
      </c>
      <c r="D119" s="32">
        <v>0.32930700000000002</v>
      </c>
      <c r="E119" s="32">
        <v>0.19245100000000001</v>
      </c>
      <c r="F119" s="32">
        <v>-0.32554300000000003</v>
      </c>
      <c r="G119" s="32">
        <v>-0.132108</v>
      </c>
    </row>
    <row r="120" spans="1:7" x14ac:dyDescent="0.2">
      <c r="A120" s="11" t="s">
        <v>550</v>
      </c>
      <c r="B120" s="32">
        <v>-0.201573</v>
      </c>
      <c r="C120" s="32">
        <v>4.1809999999999998E-3</v>
      </c>
      <c r="D120" s="32">
        <v>0.37273499999999998</v>
      </c>
      <c r="E120" s="32">
        <v>0.162135</v>
      </c>
      <c r="F120" s="32">
        <v>-0.41518500000000003</v>
      </c>
      <c r="G120" s="32">
        <v>-0.232573</v>
      </c>
    </row>
    <row r="121" spans="1:7" x14ac:dyDescent="0.2">
      <c r="A121" s="11"/>
      <c r="B121" s="11"/>
      <c r="C121" s="11"/>
      <c r="D121" s="11"/>
      <c r="E121" s="11"/>
      <c r="F121" s="11"/>
      <c r="G121" s="11"/>
    </row>
    <row r="122" spans="1:7" x14ac:dyDescent="0.2">
      <c r="A122" s="11" t="s">
        <v>551</v>
      </c>
      <c r="B122" s="32">
        <v>-0.208144</v>
      </c>
      <c r="C122" s="32">
        <v>-5.3693999999999999E-2</v>
      </c>
      <c r="D122" s="32">
        <v>-0.120147</v>
      </c>
      <c r="E122" s="32">
        <v>3.274E-3</v>
      </c>
      <c r="F122" s="32">
        <v>0.115509</v>
      </c>
      <c r="G122" s="32">
        <v>0.41493400000000003</v>
      </c>
    </row>
    <row r="123" spans="1:7" x14ac:dyDescent="0.2">
      <c r="A123" s="11" t="s">
        <v>552</v>
      </c>
      <c r="B123" s="32">
        <v>7.8139999999999998E-3</v>
      </c>
      <c r="C123" s="32">
        <v>-6.3599999999999996E-4</v>
      </c>
      <c r="D123" s="32">
        <v>-1.9528E-2</v>
      </c>
      <c r="E123" s="32">
        <v>0.166743</v>
      </c>
      <c r="F123" s="32">
        <v>0.16500400000000001</v>
      </c>
      <c r="G123" s="32">
        <v>0.17024500000000001</v>
      </c>
    </row>
    <row r="124" spans="1:7" x14ac:dyDescent="0.2">
      <c r="A124" s="11" t="s">
        <v>553</v>
      </c>
      <c r="B124" s="18" t="s">
        <v>36</v>
      </c>
      <c r="C124" s="18" t="s">
        <v>36</v>
      </c>
      <c r="D124" s="18" t="s">
        <v>36</v>
      </c>
      <c r="E124" s="18" t="s">
        <v>36</v>
      </c>
      <c r="F124" s="18" t="s">
        <v>36</v>
      </c>
      <c r="G124" s="18" t="s">
        <v>36</v>
      </c>
    </row>
    <row r="125" spans="1:7" x14ac:dyDescent="0.2">
      <c r="A125" s="11" t="s">
        <v>554</v>
      </c>
      <c r="B125" s="32">
        <v>1.7340999999999999E-2</v>
      </c>
      <c r="C125" s="32">
        <v>6.3472000000000001E-2</v>
      </c>
      <c r="D125" s="32">
        <v>4.1487000000000003E-2</v>
      </c>
      <c r="E125" s="32">
        <v>8.9973999999999998E-2</v>
      </c>
      <c r="F125" s="32">
        <v>8.7731000000000003E-2</v>
      </c>
      <c r="G125" s="32">
        <v>0.116191</v>
      </c>
    </row>
    <row r="126" spans="1:7" x14ac:dyDescent="0.2">
      <c r="A126" s="11" t="s">
        <v>555</v>
      </c>
      <c r="B126" s="32">
        <v>-1.0244E-2</v>
      </c>
      <c r="C126" s="32">
        <v>-6.9560000000000004E-3</v>
      </c>
      <c r="D126" s="32">
        <v>-4.2469999999999999E-3</v>
      </c>
      <c r="E126" s="32">
        <v>0.18837100000000001</v>
      </c>
      <c r="F126" s="32">
        <v>0.17466999999999999</v>
      </c>
      <c r="G126" s="32">
        <v>0.16308400000000001</v>
      </c>
    </row>
    <row r="127" spans="1:7" x14ac:dyDescent="0.2">
      <c r="A127" s="11"/>
      <c r="B127" s="11"/>
      <c r="C127" s="11"/>
      <c r="D127" s="11"/>
      <c r="E127" s="11"/>
      <c r="F127" s="11"/>
      <c r="G127" s="11"/>
    </row>
    <row r="128" spans="1:7" x14ac:dyDescent="0.2">
      <c r="A128" s="11" t="s">
        <v>556</v>
      </c>
      <c r="B128" s="32">
        <v>1.8641000000000001E-2</v>
      </c>
      <c r="C128" s="32">
        <v>-2.5454000000000001E-2</v>
      </c>
      <c r="D128" s="32">
        <v>1.3042E-2</v>
      </c>
      <c r="E128" s="32">
        <v>0.22892299999999999</v>
      </c>
      <c r="F128" s="32">
        <v>0.25060399999999999</v>
      </c>
      <c r="G128" s="32">
        <v>0.19314100000000001</v>
      </c>
    </row>
    <row r="129" spans="1:7" x14ac:dyDescent="0.2">
      <c r="A129" s="11" t="s">
        <v>557</v>
      </c>
      <c r="B129" s="32">
        <v>3.0665000000000001E-2</v>
      </c>
      <c r="C129" s="32">
        <v>-1.6531000000000001E-2</v>
      </c>
      <c r="D129" s="32">
        <v>2.3748999999999999E-2</v>
      </c>
      <c r="E129" s="32">
        <v>0.223969</v>
      </c>
      <c r="F129" s="32">
        <v>0.247337</v>
      </c>
      <c r="G129" s="32">
        <v>0.18887200000000001</v>
      </c>
    </row>
    <row r="130" spans="1:7" x14ac:dyDescent="0.2">
      <c r="A130" s="11" t="s">
        <v>278</v>
      </c>
      <c r="B130" s="32">
        <v>8.9191999999999994E-2</v>
      </c>
      <c r="C130" s="32">
        <v>-4.79E-3</v>
      </c>
      <c r="D130" s="32">
        <v>-1.3348E-2</v>
      </c>
      <c r="E130" s="32">
        <v>-1.0061E-2</v>
      </c>
      <c r="F130" s="32">
        <v>0.138435</v>
      </c>
      <c r="G130" s="32">
        <v>0.22015699999999999</v>
      </c>
    </row>
    <row r="131" spans="1:7" x14ac:dyDescent="0.2">
      <c r="A131" s="11" t="s">
        <v>558</v>
      </c>
      <c r="B131" s="18" t="s">
        <v>36</v>
      </c>
      <c r="C131" s="18" t="s">
        <v>36</v>
      </c>
      <c r="D131" s="18" t="s">
        <v>36</v>
      </c>
      <c r="E131" s="18" t="s">
        <v>36</v>
      </c>
      <c r="F131" s="18" t="s">
        <v>36</v>
      </c>
      <c r="G131" s="18" t="s">
        <v>36</v>
      </c>
    </row>
    <row r="132" spans="1:7" x14ac:dyDescent="0.2">
      <c r="A132" s="11" t="s">
        <v>559</v>
      </c>
      <c r="B132" s="32">
        <v>-3.8939999999999999E-3</v>
      </c>
      <c r="C132" s="32">
        <v>-1.2408000000000001E-2</v>
      </c>
      <c r="D132" s="32">
        <v>-0.229993</v>
      </c>
      <c r="E132" s="32">
        <v>8.1187999999999996E-2</v>
      </c>
      <c r="F132" s="32">
        <v>0.10104100000000001</v>
      </c>
      <c r="G132" s="32">
        <v>0.50120900000000002</v>
      </c>
    </row>
    <row r="133" spans="1:7" x14ac:dyDescent="0.2">
      <c r="A133" s="11" t="s">
        <v>560</v>
      </c>
      <c r="B133" s="32">
        <v>-1.5343000000000001E-2</v>
      </c>
      <c r="C133" s="32">
        <v>-1.5297E-2</v>
      </c>
      <c r="D133" s="32">
        <v>-0.17874899999999999</v>
      </c>
      <c r="E133" s="32">
        <v>7.2711999999999999E-2</v>
      </c>
      <c r="F133" s="32">
        <v>9.8039000000000001E-2</v>
      </c>
      <c r="G133" s="32">
        <v>0.39361099999999999</v>
      </c>
    </row>
    <row r="134" spans="1:7" x14ac:dyDescent="0.2">
      <c r="A134" s="11" t="s">
        <v>561</v>
      </c>
      <c r="B134" s="32">
        <v>4.7300000000000002E-2</v>
      </c>
      <c r="C134" s="32">
        <v>2.6658000000000001E-2</v>
      </c>
      <c r="D134" s="32">
        <v>-0.208735</v>
      </c>
      <c r="E134" s="32">
        <v>-0.15323400000000001</v>
      </c>
      <c r="F134" s="32">
        <v>-9.1439999999999994E-2</v>
      </c>
      <c r="G134" s="32">
        <v>0.198661</v>
      </c>
    </row>
    <row r="135" spans="1:7" x14ac:dyDescent="0.2">
      <c r="A135" s="11"/>
      <c r="B135" s="11"/>
      <c r="C135" s="11"/>
      <c r="D135" s="11"/>
      <c r="E135" s="11"/>
      <c r="F135" s="11"/>
      <c r="G135" s="11"/>
    </row>
    <row r="136" spans="1:7" x14ac:dyDescent="0.2">
      <c r="A136" s="9" t="s">
        <v>564</v>
      </c>
      <c r="B136" s="11"/>
      <c r="C136" s="11"/>
      <c r="D136" s="11"/>
      <c r="E136" s="11"/>
      <c r="F136" s="11"/>
      <c r="G136" s="11"/>
    </row>
    <row r="137" spans="1:7" x14ac:dyDescent="0.2">
      <c r="A137" s="11" t="s">
        <v>104</v>
      </c>
      <c r="B137" s="32">
        <v>6.1110999999999999E-2</v>
      </c>
      <c r="C137" s="32">
        <v>3.0544000000000002E-2</v>
      </c>
      <c r="D137" s="32">
        <v>-1.9401000000000002E-2</v>
      </c>
      <c r="E137" s="32">
        <v>3.1108E-2</v>
      </c>
      <c r="F137" s="32">
        <v>7.5465000000000004E-2</v>
      </c>
      <c r="G137" s="32">
        <v>8.8936000000000001E-2</v>
      </c>
    </row>
    <row r="138" spans="1:7" x14ac:dyDescent="0.2">
      <c r="A138" s="11" t="s">
        <v>546</v>
      </c>
      <c r="B138" s="32">
        <v>5.3513999999999999E-2</v>
      </c>
      <c r="C138" s="32">
        <v>2.1663000000000002E-2</v>
      </c>
      <c r="D138" s="32">
        <v>-3.6790000000000003E-2</v>
      </c>
      <c r="E138" s="32">
        <v>2.3768000000000001E-2</v>
      </c>
      <c r="F138" s="32">
        <v>6.7595000000000002E-2</v>
      </c>
      <c r="G138" s="32">
        <v>7.9653000000000002E-2</v>
      </c>
    </row>
    <row r="139" spans="1:7" x14ac:dyDescent="0.2">
      <c r="A139" s="11" t="s">
        <v>547</v>
      </c>
      <c r="B139" s="32">
        <v>7.4722999999999998E-2</v>
      </c>
      <c r="C139" s="32">
        <v>3.3257000000000002E-2</v>
      </c>
      <c r="D139" s="32">
        <v>-3.4152000000000002E-2</v>
      </c>
      <c r="E139" s="32">
        <v>2.7015999999999998E-2</v>
      </c>
      <c r="F139" s="32">
        <v>7.1257000000000001E-2</v>
      </c>
      <c r="G139" s="32">
        <v>8.3724999999999994E-2</v>
      </c>
    </row>
    <row r="140" spans="1:7" x14ac:dyDescent="0.2">
      <c r="A140" s="11" t="s">
        <v>548</v>
      </c>
      <c r="B140" s="32">
        <v>0.107365</v>
      </c>
      <c r="C140" s="32">
        <v>6.0417999999999999E-2</v>
      </c>
      <c r="D140" s="32">
        <v>-5.3726000000000003E-2</v>
      </c>
      <c r="E140" s="32">
        <v>3.0508E-2</v>
      </c>
      <c r="F140" s="32">
        <v>8.1255999999999995E-2</v>
      </c>
      <c r="G140" s="32">
        <v>7.6485999999999998E-2</v>
      </c>
    </row>
    <row r="141" spans="1:7" x14ac:dyDescent="0.2">
      <c r="A141" s="11" t="s">
        <v>549</v>
      </c>
      <c r="B141" s="32">
        <v>8.2621E-2</v>
      </c>
      <c r="C141" s="32">
        <v>4.4554000000000003E-2</v>
      </c>
      <c r="D141" s="32">
        <v>-3.3105999999999997E-2</v>
      </c>
      <c r="E141" s="32">
        <v>2.4740999999999999E-2</v>
      </c>
      <c r="F141" s="32">
        <v>6.8568000000000004E-2</v>
      </c>
      <c r="G141" s="32">
        <v>6.5766000000000005E-2</v>
      </c>
    </row>
    <row r="142" spans="1:7" x14ac:dyDescent="0.2">
      <c r="A142" s="11" t="s">
        <v>127</v>
      </c>
      <c r="B142" s="32">
        <v>0.11450299999999999</v>
      </c>
      <c r="C142" s="32">
        <v>1.4470999999999999E-2</v>
      </c>
      <c r="D142" s="32">
        <v>2.1833000000000002E-2</v>
      </c>
      <c r="E142" s="32">
        <v>0.17085800000000001</v>
      </c>
      <c r="F142" s="32">
        <v>-0.23588100000000001</v>
      </c>
      <c r="G142" s="32">
        <v>5.9648E-2</v>
      </c>
    </row>
    <row r="143" spans="1:7" x14ac:dyDescent="0.2">
      <c r="A143" s="11" t="s">
        <v>132</v>
      </c>
      <c r="B143" s="32">
        <v>0.16071199999999999</v>
      </c>
      <c r="C143" s="32">
        <v>-6.4000000000000003E-3</v>
      </c>
      <c r="D143" s="32">
        <v>2.2807000000000001E-2</v>
      </c>
      <c r="E143" s="32">
        <v>0.173765</v>
      </c>
      <c r="F143" s="32">
        <v>-0.216281</v>
      </c>
      <c r="G143" s="32">
        <v>5.6189000000000003E-2</v>
      </c>
    </row>
    <row r="144" spans="1:7" x14ac:dyDescent="0.2">
      <c r="A144" s="11" t="s">
        <v>550</v>
      </c>
      <c r="B144" s="32">
        <v>0.13198699999999999</v>
      </c>
      <c r="C144" s="32">
        <v>9.5809999999999992E-3</v>
      </c>
      <c r="D144" s="32">
        <v>2.3473999999999998E-2</v>
      </c>
      <c r="E144" s="32">
        <v>0.151724</v>
      </c>
      <c r="F144" s="32">
        <v>-0.28727799999999998</v>
      </c>
      <c r="G144" s="32">
        <v>-5.5699999999999999E-4</v>
      </c>
    </row>
    <row r="145" spans="1:7" x14ac:dyDescent="0.2">
      <c r="A145" s="11"/>
      <c r="B145" s="11"/>
      <c r="C145" s="11"/>
      <c r="D145" s="11"/>
      <c r="E145" s="11"/>
      <c r="F145" s="11"/>
      <c r="G145" s="11"/>
    </row>
    <row r="146" spans="1:7" x14ac:dyDescent="0.2">
      <c r="A146" s="11" t="s">
        <v>551</v>
      </c>
      <c r="B146" s="32">
        <v>2.5236000000000001E-2</v>
      </c>
      <c r="C146" s="32">
        <v>2.9673000000000001E-2</v>
      </c>
      <c r="D146" s="32">
        <v>-0.20955599999999999</v>
      </c>
      <c r="E146" s="32">
        <v>-3.9052999999999997E-2</v>
      </c>
      <c r="F146" s="32">
        <v>9.7028000000000003E-2</v>
      </c>
      <c r="G146" s="32">
        <v>0.11976000000000001</v>
      </c>
    </row>
    <row r="147" spans="1:7" x14ac:dyDescent="0.2">
      <c r="A147" s="11" t="s">
        <v>552</v>
      </c>
      <c r="B147" s="32">
        <v>5.8165000000000001E-2</v>
      </c>
      <c r="C147" s="32">
        <v>3.9003999999999997E-2</v>
      </c>
      <c r="D147" s="32">
        <v>5.9280000000000001E-3</v>
      </c>
      <c r="E147" s="32">
        <v>9.4297000000000006E-2</v>
      </c>
      <c r="F147" s="32">
        <v>8.3934999999999996E-2</v>
      </c>
      <c r="G147" s="32">
        <v>0.100284</v>
      </c>
    </row>
    <row r="148" spans="1:7" x14ac:dyDescent="0.2">
      <c r="A148" s="11" t="s">
        <v>553</v>
      </c>
      <c r="B148" s="18" t="s">
        <v>36</v>
      </c>
      <c r="C148" s="18" t="s">
        <v>36</v>
      </c>
      <c r="D148" s="18" t="s">
        <v>36</v>
      </c>
      <c r="E148" s="18" t="s">
        <v>36</v>
      </c>
      <c r="F148" s="18" t="s">
        <v>36</v>
      </c>
      <c r="G148" s="18" t="s">
        <v>36</v>
      </c>
    </row>
    <row r="149" spans="1:7" x14ac:dyDescent="0.2">
      <c r="A149" s="11" t="s">
        <v>554</v>
      </c>
      <c r="B149" s="32">
        <v>2.3460999999999999E-2</v>
      </c>
      <c r="C149" s="32">
        <v>4.8732999999999999E-2</v>
      </c>
      <c r="D149" s="32">
        <v>4.1117000000000001E-2</v>
      </c>
      <c r="E149" s="32">
        <v>5.6166000000000001E-2</v>
      </c>
      <c r="F149" s="32">
        <v>8.2029000000000005E-2</v>
      </c>
      <c r="G149" s="32">
        <v>0.100684</v>
      </c>
    </row>
    <row r="150" spans="1:7" x14ac:dyDescent="0.2">
      <c r="A150" s="11" t="s">
        <v>555</v>
      </c>
      <c r="B150" s="32">
        <v>2.6227E-2</v>
      </c>
      <c r="C150" s="32">
        <v>1.3958999999999999E-2</v>
      </c>
      <c r="D150" s="32">
        <v>4.7210000000000004E-3</v>
      </c>
      <c r="E150" s="32">
        <v>0.10449</v>
      </c>
      <c r="F150" s="32">
        <v>8.6681999999999995E-2</v>
      </c>
      <c r="G150" s="32">
        <v>0.106867</v>
      </c>
    </row>
    <row r="151" spans="1:7" x14ac:dyDescent="0.2">
      <c r="A151" s="11"/>
      <c r="B151" s="11"/>
      <c r="C151" s="11"/>
      <c r="D151" s="11"/>
      <c r="E151" s="11"/>
      <c r="F151" s="11"/>
      <c r="G151" s="11"/>
    </row>
    <row r="152" spans="1:7" x14ac:dyDescent="0.2">
      <c r="A152" s="11" t="s">
        <v>556</v>
      </c>
      <c r="B152" s="32">
        <v>2.8601000000000001E-2</v>
      </c>
      <c r="C152" s="32">
        <v>3.7499999999999999E-3</v>
      </c>
      <c r="D152" s="32">
        <v>2.1333999999999999E-2</v>
      </c>
      <c r="E152" s="32">
        <v>0.13498099999999999</v>
      </c>
      <c r="F152" s="32">
        <v>0.120213</v>
      </c>
      <c r="G152" s="32">
        <v>0.122976</v>
      </c>
    </row>
    <row r="153" spans="1:7" x14ac:dyDescent="0.2">
      <c r="A153" s="11" t="s">
        <v>557</v>
      </c>
      <c r="B153" s="32">
        <v>3.049E-2</v>
      </c>
      <c r="C153" s="32">
        <v>9.5890000000000003E-3</v>
      </c>
      <c r="D153" s="32">
        <v>3.1361E-2</v>
      </c>
      <c r="E153" s="32">
        <v>0.13736699999999999</v>
      </c>
      <c r="F153" s="32">
        <v>0.123528</v>
      </c>
      <c r="G153" s="32">
        <v>0.123625</v>
      </c>
    </row>
    <row r="154" spans="1:7" x14ac:dyDescent="0.2">
      <c r="A154" s="11" t="s">
        <v>278</v>
      </c>
      <c r="B154" s="32">
        <v>2.2762999999999999E-2</v>
      </c>
      <c r="C154" s="32">
        <v>-1.4970000000000001E-2</v>
      </c>
      <c r="D154" s="32">
        <v>3.6250999999999999E-2</v>
      </c>
      <c r="E154" s="32">
        <v>8.8859999999999998E-3</v>
      </c>
      <c r="F154" s="32">
        <v>6.9924E-2</v>
      </c>
      <c r="G154" s="32">
        <v>0.109307</v>
      </c>
    </row>
    <row r="155" spans="1:7" x14ac:dyDescent="0.2">
      <c r="A155" s="11" t="s">
        <v>558</v>
      </c>
      <c r="B155" s="18" t="s">
        <v>36</v>
      </c>
      <c r="C155" s="18" t="s">
        <v>36</v>
      </c>
      <c r="D155" s="18" t="s">
        <v>36</v>
      </c>
      <c r="E155" s="18" t="s">
        <v>36</v>
      </c>
      <c r="F155" s="18" t="s">
        <v>36</v>
      </c>
      <c r="G155" s="18" t="s">
        <v>36</v>
      </c>
    </row>
    <row r="156" spans="1:7" x14ac:dyDescent="0.2">
      <c r="A156" s="11" t="s">
        <v>559</v>
      </c>
      <c r="B156" s="32">
        <v>0.14233000000000001</v>
      </c>
      <c r="C156" s="32">
        <v>-2.0999999999999999E-5</v>
      </c>
      <c r="D156" s="32">
        <v>-0.13059799999999999</v>
      </c>
      <c r="E156" s="32">
        <v>4.4200999999999997E-2</v>
      </c>
      <c r="F156" s="32">
        <v>3.5249999999999997E-2</v>
      </c>
      <c r="G156" s="32">
        <v>0.11199199999999999</v>
      </c>
    </row>
    <row r="157" spans="1:7" x14ac:dyDescent="0.2">
      <c r="A157" s="11" t="s">
        <v>560</v>
      </c>
      <c r="B157" s="32">
        <v>9.3279000000000001E-2</v>
      </c>
      <c r="C157" s="32">
        <v>-5.6820000000000004E-3</v>
      </c>
      <c r="D157" s="32">
        <v>-0.10430300000000001</v>
      </c>
      <c r="E157" s="32">
        <v>3.7998999999999998E-2</v>
      </c>
      <c r="F157" s="32">
        <v>3.5005000000000001E-2</v>
      </c>
      <c r="G157" s="32">
        <v>0.103252</v>
      </c>
    </row>
    <row r="158" spans="1:7" x14ac:dyDescent="0.2">
      <c r="A158" s="11" t="s">
        <v>561</v>
      </c>
      <c r="B158" s="32">
        <v>5.5481000000000003E-2</v>
      </c>
      <c r="C158" s="32">
        <v>4.1259999999999998E-2</v>
      </c>
      <c r="D158" s="32">
        <v>-0.111458</v>
      </c>
      <c r="E158" s="32">
        <v>-8.0581E-2</v>
      </c>
      <c r="F158" s="32">
        <v>-5.0771999999999998E-2</v>
      </c>
      <c r="G158" s="32">
        <v>-3.6497000000000002E-2</v>
      </c>
    </row>
    <row r="159" spans="1:7" x14ac:dyDescent="0.2">
      <c r="A159" s="11"/>
      <c r="B159" s="11"/>
      <c r="C159" s="11"/>
      <c r="D159" s="11"/>
      <c r="E159" s="11"/>
      <c r="F159" s="11"/>
      <c r="G159" s="11"/>
    </row>
    <row r="160" spans="1:7" ht="61.2" x14ac:dyDescent="0.2">
      <c r="A160" s="41" t="s">
        <v>76</v>
      </c>
      <c r="B160" s="12"/>
      <c r="C160" s="12"/>
      <c r="D160" s="12"/>
      <c r="E160" s="12"/>
      <c r="F160" s="12"/>
      <c r="G160" s="12"/>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55"/>
  <sheetViews>
    <sheetView workbookViewId="0"/>
    <sheetView workbookViewId="1"/>
    <sheetView workbookViewId="2"/>
  </sheetViews>
  <sheetFormatPr defaultRowHeight="10.199999999999999" x14ac:dyDescent="0.2"/>
  <cols>
    <col min="1" max="1" width="45.77734375" customWidth="1"/>
    <col min="2" max="7" width="14.77734375" customWidth="1"/>
  </cols>
  <sheetData>
    <row r="5" spans="1:255" ht="16.2" x14ac:dyDescent="0.25">
      <c r="A5" s="1" t="s">
        <v>565</v>
      </c>
    </row>
    <row r="7" spans="1:255" x14ac:dyDescent="0.2">
      <c r="A7" s="2" t="s">
        <v>566</v>
      </c>
      <c r="B7" s="3" t="s">
        <v>567</v>
      </c>
      <c r="C7" t="s">
        <v>82</v>
      </c>
      <c r="D7" s="4" t="s">
        <v>4</v>
      </c>
      <c r="E7" s="3" t="s">
        <v>568</v>
      </c>
      <c r="F7" t="s">
        <v>84</v>
      </c>
    </row>
    <row r="8" spans="1:255" x14ac:dyDescent="0.2">
      <c r="A8" s="4"/>
      <c r="B8" s="3" t="s">
        <v>569</v>
      </c>
      <c r="C8" t="s">
        <v>87</v>
      </c>
      <c r="D8" s="4" t="s">
        <v>4</v>
      </c>
      <c r="E8" s="3" t="s">
        <v>570</v>
      </c>
      <c r="F8" t="s">
        <v>6</v>
      </c>
    </row>
    <row r="9" spans="1:255" x14ac:dyDescent="0.2">
      <c r="A9" s="4"/>
      <c r="B9" s="3" t="s">
        <v>571</v>
      </c>
      <c r="C9" t="s">
        <v>8</v>
      </c>
      <c r="D9" s="4" t="s">
        <v>4</v>
      </c>
      <c r="E9" s="3" t="s">
        <v>572</v>
      </c>
      <c r="F9" t="s">
        <v>10</v>
      </c>
    </row>
    <row r="10" spans="1:255" x14ac:dyDescent="0.2">
      <c r="A10" s="4"/>
      <c r="B10" s="3" t="s">
        <v>573</v>
      </c>
      <c r="C10" s="5" t="s">
        <v>12</v>
      </c>
      <c r="D10" s="4" t="s">
        <v>4</v>
      </c>
      <c r="E10" s="3" t="s">
        <v>574</v>
      </c>
      <c r="F10" t="s">
        <v>92</v>
      </c>
    </row>
    <row r="13" spans="1:255" x14ac:dyDescent="0.2">
      <c r="A13" s="6" t="s">
        <v>575</v>
      </c>
      <c r="B13" s="6"/>
      <c r="C13" s="6"/>
      <c r="D13" s="6"/>
      <c r="E13" s="6"/>
      <c r="F13" s="6"/>
      <c r="G13" s="6"/>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75"/>
      <c r="EC13" s="75"/>
      <c r="ED13" s="75"/>
      <c r="EE13" s="75"/>
      <c r="EF13" s="75"/>
      <c r="EG13" s="75"/>
      <c r="EH13" s="75"/>
      <c r="EI13" s="75"/>
      <c r="EJ13" s="75"/>
      <c r="EK13" s="75"/>
      <c r="EL13" s="75"/>
      <c r="EM13" s="75"/>
      <c r="EN13" s="75"/>
      <c r="EO13" s="75"/>
      <c r="EP13" s="75"/>
      <c r="EQ13" s="75"/>
      <c r="ER13" s="75"/>
      <c r="ES13" s="75"/>
      <c r="ET13" s="75"/>
      <c r="EU13" s="75"/>
      <c r="EV13" s="75"/>
      <c r="EW13" s="75"/>
      <c r="EX13" s="75"/>
      <c r="EY13" s="75"/>
      <c r="EZ13" s="75"/>
      <c r="FA13" s="75"/>
      <c r="FB13" s="75"/>
      <c r="FC13" s="75"/>
      <c r="FD13" s="75"/>
      <c r="FE13" s="75"/>
      <c r="FF13" s="75"/>
      <c r="FG13" s="75"/>
      <c r="FH13" s="75"/>
      <c r="FI13" s="75"/>
      <c r="FJ13" s="75"/>
      <c r="FK13" s="75"/>
      <c r="FL13" s="75"/>
      <c r="FM13" s="75"/>
      <c r="FN13" s="75"/>
      <c r="FO13" s="75"/>
      <c r="FP13" s="75"/>
      <c r="FQ13" s="75"/>
      <c r="FR13" s="75"/>
      <c r="FS13" s="75"/>
      <c r="FT13" s="75"/>
      <c r="FU13" s="75"/>
      <c r="FV13" s="75"/>
      <c r="FW13" s="75"/>
      <c r="FX13" s="75"/>
      <c r="FY13" s="75"/>
      <c r="FZ13" s="75"/>
      <c r="GA13" s="75"/>
      <c r="GB13" s="75"/>
      <c r="GC13" s="75"/>
      <c r="GD13" s="75"/>
      <c r="GE13" s="75"/>
      <c r="GF13" s="75"/>
      <c r="GG13" s="75"/>
      <c r="GH13" s="75"/>
      <c r="GI13" s="75"/>
      <c r="GJ13" s="75"/>
      <c r="GK13" s="75"/>
      <c r="GL13" s="75"/>
      <c r="GM13" s="75"/>
      <c r="GN13" s="75"/>
      <c r="GO13" s="75"/>
      <c r="GP13" s="75"/>
      <c r="GQ13" s="75"/>
      <c r="GR13" s="75"/>
      <c r="GS13" s="75"/>
      <c r="GT13" s="75"/>
      <c r="GU13" s="75"/>
      <c r="GV13" s="75"/>
      <c r="GW13" s="75"/>
      <c r="GX13" s="75"/>
      <c r="GY13" s="75"/>
      <c r="GZ13" s="75"/>
      <c r="HA13" s="75"/>
      <c r="HB13" s="75"/>
      <c r="HC13" s="75"/>
      <c r="HD13" s="75"/>
      <c r="HE13" s="75"/>
      <c r="HF13" s="75"/>
      <c r="HG13" s="75"/>
      <c r="HH13" s="75"/>
      <c r="HI13" s="75"/>
      <c r="HJ13" s="75"/>
      <c r="HK13" s="75"/>
      <c r="HL13" s="75"/>
      <c r="HM13" s="75"/>
      <c r="HN13" s="75"/>
      <c r="HO13" s="75"/>
      <c r="HP13" s="75"/>
      <c r="HQ13" s="75"/>
      <c r="HR13" s="75"/>
      <c r="HS13" s="75"/>
      <c r="HT13" s="75"/>
      <c r="HU13" s="75"/>
      <c r="HV13" s="75"/>
      <c r="HW13" s="75"/>
      <c r="HX13" s="75"/>
      <c r="HY13" s="75"/>
      <c r="HZ13" s="75"/>
      <c r="IA13" s="75"/>
      <c r="IB13" s="75"/>
      <c r="IC13" s="75"/>
      <c r="ID13" s="75"/>
      <c r="IE13" s="75"/>
      <c r="IF13" s="75"/>
      <c r="IG13" s="75"/>
      <c r="IH13" s="75"/>
      <c r="II13" s="75"/>
      <c r="IJ13" s="75"/>
      <c r="IK13" s="75"/>
      <c r="IL13" s="75"/>
      <c r="IM13" s="75"/>
      <c r="IN13" s="75"/>
      <c r="IO13" s="75"/>
      <c r="IP13" s="75"/>
      <c r="IQ13" s="75"/>
      <c r="IR13" s="75"/>
      <c r="IS13" s="75"/>
      <c r="IT13" s="75"/>
      <c r="IU13" s="75"/>
    </row>
    <row r="14" spans="1:255" ht="20.399999999999999" x14ac:dyDescent="0.2">
      <c r="A14" s="7" t="s">
        <v>16</v>
      </c>
      <c r="B14" s="13" t="s">
        <v>264</v>
      </c>
      <c r="C14" s="13" t="s">
        <v>265</v>
      </c>
      <c r="D14" s="13" t="s">
        <v>96</v>
      </c>
      <c r="E14" s="13" t="s">
        <v>266</v>
      </c>
      <c r="F14" s="13" t="s">
        <v>98</v>
      </c>
      <c r="G14" s="13" t="s">
        <v>99</v>
      </c>
    </row>
    <row r="15" spans="1:255" x14ac:dyDescent="0.2">
      <c r="A15" s="8" t="s">
        <v>25</v>
      </c>
      <c r="B15" s="14" t="s">
        <v>26</v>
      </c>
      <c r="C15" s="14" t="s">
        <v>26</v>
      </c>
      <c r="D15" s="14" t="s">
        <v>26</v>
      </c>
      <c r="E15" s="14" t="s">
        <v>26</v>
      </c>
      <c r="F15" s="14" t="s">
        <v>26</v>
      </c>
      <c r="G15" s="14" t="s">
        <v>26</v>
      </c>
    </row>
    <row r="16" spans="1:255" x14ac:dyDescent="0.2">
      <c r="A16" s="9" t="s">
        <v>576</v>
      </c>
      <c r="B16" s="11"/>
      <c r="C16" s="11"/>
      <c r="D16" s="11"/>
      <c r="E16" s="11"/>
      <c r="F16" s="11"/>
      <c r="G16" s="11"/>
    </row>
    <row r="17" spans="1:7" x14ac:dyDescent="0.2">
      <c r="A17" s="11" t="s">
        <v>577</v>
      </c>
      <c r="B17" s="19">
        <v>3.4649459999999999</v>
      </c>
      <c r="C17" s="19">
        <v>1.6413660000000001</v>
      </c>
      <c r="D17" s="19">
        <v>1.297936</v>
      </c>
      <c r="E17" s="19">
        <v>1.1623209999999999</v>
      </c>
      <c r="F17" s="19">
        <v>0.488755</v>
      </c>
      <c r="G17" s="19">
        <v>0.282134</v>
      </c>
    </row>
    <row r="18" spans="1:7" x14ac:dyDescent="0.2">
      <c r="A18" s="11" t="s">
        <v>578</v>
      </c>
      <c r="B18" s="19">
        <v>4.2258999999999998E-2</v>
      </c>
      <c r="C18" s="19">
        <v>0.26885599999999998</v>
      </c>
      <c r="D18" s="19">
        <v>6.3365000000000005E-2</v>
      </c>
      <c r="E18" s="19">
        <v>0.31574999999999998</v>
      </c>
      <c r="F18" s="19">
        <v>0.205871</v>
      </c>
      <c r="G18" s="19">
        <v>0.173038</v>
      </c>
    </row>
    <row r="19" spans="1:7" x14ac:dyDescent="0.2">
      <c r="A19" s="11" t="s">
        <v>579</v>
      </c>
      <c r="B19" s="19">
        <v>1.7813209999999999</v>
      </c>
      <c r="C19" s="19">
        <v>7.4574000000000001E-2</v>
      </c>
      <c r="D19" s="19">
        <v>7.2249999999999995E-2</v>
      </c>
      <c r="E19" s="19">
        <v>0.35781600000000002</v>
      </c>
      <c r="F19" s="19">
        <v>7.5000000000000002E-4</v>
      </c>
      <c r="G19" s="19">
        <v>0.109096</v>
      </c>
    </row>
    <row r="20" spans="1:7" x14ac:dyDescent="0.2">
      <c r="A20" s="11" t="s">
        <v>580</v>
      </c>
      <c r="B20" s="19">
        <v>1.6413660000000001</v>
      </c>
      <c r="C20" s="19">
        <v>1.297936</v>
      </c>
      <c r="D20" s="19">
        <v>1.1623209999999999</v>
      </c>
      <c r="E20" s="19">
        <v>0.488755</v>
      </c>
      <c r="F20" s="19">
        <v>0.282134</v>
      </c>
      <c r="G20" s="19" t="s">
        <v>30</v>
      </c>
    </row>
    <row r="21" spans="1:7" x14ac:dyDescent="0.2">
      <c r="A21" s="11" t="s">
        <v>581</v>
      </c>
      <c r="B21" s="22">
        <v>18.78</v>
      </c>
      <c r="C21" s="22">
        <v>19.600000000000001</v>
      </c>
      <c r="D21" s="22">
        <v>20.03</v>
      </c>
      <c r="E21" s="22">
        <v>21.48</v>
      </c>
      <c r="F21" s="22">
        <v>22.13</v>
      </c>
      <c r="G21" s="31" t="s">
        <v>30</v>
      </c>
    </row>
    <row r="22" spans="1:7" x14ac:dyDescent="0.2">
      <c r="A22" s="11"/>
      <c r="B22" s="11"/>
      <c r="C22" s="11"/>
      <c r="D22" s="11"/>
      <c r="E22" s="11"/>
      <c r="F22" s="11"/>
      <c r="G22" s="11"/>
    </row>
    <row r="23" spans="1:7" x14ac:dyDescent="0.2">
      <c r="A23" s="9" t="s">
        <v>582</v>
      </c>
      <c r="B23" s="11"/>
      <c r="C23" s="11"/>
      <c r="D23" s="11"/>
      <c r="E23" s="11"/>
      <c r="F23" s="11"/>
      <c r="G23" s="11"/>
    </row>
    <row r="24" spans="1:7" x14ac:dyDescent="0.2">
      <c r="A24" s="11" t="s">
        <v>577</v>
      </c>
      <c r="B24" s="19">
        <v>3.4649459999999999</v>
      </c>
      <c r="C24" s="19">
        <v>1.6413660000000001</v>
      </c>
      <c r="D24" s="19">
        <v>1.297936</v>
      </c>
      <c r="E24" s="19">
        <v>1.1623209999999999</v>
      </c>
      <c r="F24" s="19">
        <v>0.488755</v>
      </c>
      <c r="G24" s="19">
        <v>0.282134</v>
      </c>
    </row>
    <row r="25" spans="1:7" x14ac:dyDescent="0.2">
      <c r="A25" s="11" t="s">
        <v>578</v>
      </c>
      <c r="B25" s="19">
        <v>4.2258999999999998E-2</v>
      </c>
      <c r="C25" s="19">
        <v>0.26885599999999998</v>
      </c>
      <c r="D25" s="19">
        <v>6.3365000000000005E-2</v>
      </c>
      <c r="E25" s="19">
        <v>0.31574999999999998</v>
      </c>
      <c r="F25" s="19">
        <v>0.205871</v>
      </c>
      <c r="G25" s="19">
        <v>0.173038</v>
      </c>
    </row>
    <row r="26" spans="1:7" x14ac:dyDescent="0.2">
      <c r="A26" s="11" t="s">
        <v>579</v>
      </c>
      <c r="B26" s="19">
        <v>1.7813209999999999</v>
      </c>
      <c r="C26" s="19">
        <v>7.4574000000000001E-2</v>
      </c>
      <c r="D26" s="19">
        <v>7.2249999999999995E-2</v>
      </c>
      <c r="E26" s="19">
        <v>0.35781600000000002</v>
      </c>
      <c r="F26" s="19">
        <v>7.5000000000000002E-4</v>
      </c>
      <c r="G26" s="19">
        <v>0.109096</v>
      </c>
    </row>
    <row r="27" spans="1:7" x14ac:dyDescent="0.2">
      <c r="A27" s="11" t="s">
        <v>580</v>
      </c>
      <c r="B27" s="19">
        <v>1.6413660000000001</v>
      </c>
      <c r="C27" s="19">
        <v>1.297936</v>
      </c>
      <c r="D27" s="19">
        <v>1.1623209999999999</v>
      </c>
      <c r="E27" s="19">
        <v>0.488755</v>
      </c>
      <c r="F27" s="19">
        <v>0.282134</v>
      </c>
      <c r="G27" s="19" t="s">
        <v>30</v>
      </c>
    </row>
    <row r="28" spans="1:7" x14ac:dyDescent="0.2">
      <c r="A28" s="11"/>
      <c r="B28" s="11"/>
      <c r="C28" s="11"/>
      <c r="D28" s="11"/>
      <c r="E28" s="11"/>
      <c r="F28" s="11"/>
      <c r="G28" s="11"/>
    </row>
    <row r="29" spans="1:7" x14ac:dyDescent="0.2">
      <c r="A29" s="9" t="s">
        <v>583</v>
      </c>
      <c r="B29" s="11"/>
      <c r="C29" s="11"/>
      <c r="D29" s="11"/>
      <c r="E29" s="11"/>
      <c r="F29" s="11"/>
      <c r="G29" s="11"/>
    </row>
    <row r="30" spans="1:7" x14ac:dyDescent="0.2">
      <c r="A30" s="11" t="s">
        <v>584</v>
      </c>
      <c r="B30" s="19">
        <v>18.221</v>
      </c>
      <c r="C30" s="19">
        <v>20.2</v>
      </c>
      <c r="D30" s="19">
        <v>23.684999999999999</v>
      </c>
      <c r="E30" s="19">
        <v>23.15</v>
      </c>
      <c r="F30" s="19">
        <v>26.638999999999999</v>
      </c>
      <c r="G30" s="19">
        <v>33.054000000000002</v>
      </c>
    </row>
    <row r="31" spans="1:7" x14ac:dyDescent="0.2">
      <c r="A31" s="11"/>
      <c r="B31" s="11"/>
      <c r="C31" s="11"/>
      <c r="D31" s="11"/>
      <c r="E31" s="11"/>
      <c r="F31" s="11"/>
      <c r="G31" s="11"/>
    </row>
    <row r="32" spans="1:7" x14ac:dyDescent="0.2">
      <c r="A32" s="9" t="s">
        <v>585</v>
      </c>
      <c r="B32" s="11"/>
      <c r="C32" s="11"/>
      <c r="D32" s="11"/>
      <c r="E32" s="11"/>
      <c r="F32" s="11"/>
      <c r="G32" s="11"/>
    </row>
    <row r="33" spans="1:7" x14ac:dyDescent="0.2">
      <c r="A33" s="11" t="s">
        <v>586</v>
      </c>
      <c r="B33" s="73">
        <v>2032</v>
      </c>
      <c r="C33" s="73">
        <v>2032</v>
      </c>
      <c r="D33" s="73">
        <v>2032</v>
      </c>
      <c r="E33" s="73">
        <v>2032</v>
      </c>
      <c r="F33" s="18" t="s">
        <v>30</v>
      </c>
      <c r="G33" s="18" t="s">
        <v>30</v>
      </c>
    </row>
    <row r="34" spans="1:7" x14ac:dyDescent="0.2">
      <c r="A34" s="11"/>
      <c r="B34" s="11"/>
      <c r="C34" s="11"/>
      <c r="D34" s="11"/>
      <c r="E34" s="11"/>
      <c r="F34" s="11"/>
      <c r="G34" s="11"/>
    </row>
    <row r="35" spans="1:7" x14ac:dyDescent="0.2">
      <c r="A35" s="11" t="s">
        <v>587</v>
      </c>
      <c r="B35" s="19">
        <v>2.5640000000000001</v>
      </c>
      <c r="C35" s="19">
        <v>2.34</v>
      </c>
      <c r="D35" s="19">
        <v>2.34</v>
      </c>
      <c r="E35" s="19">
        <v>2.34</v>
      </c>
      <c r="F35" s="19" t="s">
        <v>30</v>
      </c>
      <c r="G35" s="19" t="s">
        <v>30</v>
      </c>
    </row>
    <row r="36" spans="1:7" x14ac:dyDescent="0.2">
      <c r="A36" s="11" t="s">
        <v>588</v>
      </c>
      <c r="B36" s="19">
        <v>3.5</v>
      </c>
      <c r="C36" s="19" t="s">
        <v>30</v>
      </c>
      <c r="D36" s="19" t="s">
        <v>30</v>
      </c>
      <c r="E36" s="19" t="s">
        <v>30</v>
      </c>
      <c r="F36" s="19" t="s">
        <v>30</v>
      </c>
      <c r="G36" s="19" t="s">
        <v>30</v>
      </c>
    </row>
    <row r="37" spans="1:7" x14ac:dyDescent="0.2">
      <c r="A37" s="11" t="s">
        <v>589</v>
      </c>
      <c r="B37" s="19">
        <v>6.0640000000000001</v>
      </c>
      <c r="C37" s="19">
        <v>2.34</v>
      </c>
      <c r="D37" s="19">
        <v>2.34</v>
      </c>
      <c r="E37" s="19">
        <v>2.34</v>
      </c>
      <c r="F37" s="19" t="s">
        <v>30</v>
      </c>
      <c r="G37" s="19" t="s">
        <v>30</v>
      </c>
    </row>
    <row r="38" spans="1:7" x14ac:dyDescent="0.2">
      <c r="A38" s="11" t="s">
        <v>590</v>
      </c>
      <c r="B38" s="18" t="s">
        <v>30</v>
      </c>
      <c r="C38" s="18" t="s">
        <v>30</v>
      </c>
      <c r="D38" s="73">
        <v>2035</v>
      </c>
      <c r="E38" s="73">
        <v>2035</v>
      </c>
      <c r="F38" s="73">
        <v>2035</v>
      </c>
      <c r="G38" s="18" t="s">
        <v>30</v>
      </c>
    </row>
    <row r="39" spans="1:7" x14ac:dyDescent="0.2">
      <c r="A39" s="11"/>
      <c r="B39" s="11"/>
      <c r="C39" s="11"/>
      <c r="D39" s="11"/>
      <c r="E39" s="11"/>
      <c r="F39" s="11"/>
      <c r="G39" s="11"/>
    </row>
    <row r="40" spans="1:7" x14ac:dyDescent="0.2">
      <c r="A40" s="9" t="s">
        <v>591</v>
      </c>
      <c r="B40" s="11"/>
      <c r="C40" s="11"/>
      <c r="D40" s="11"/>
      <c r="E40" s="11"/>
      <c r="F40" s="11"/>
      <c r="G40" s="11"/>
    </row>
    <row r="41" spans="1:7" x14ac:dyDescent="0.2">
      <c r="A41" s="11" t="s">
        <v>155</v>
      </c>
      <c r="B41" s="19">
        <v>17.548999999999999</v>
      </c>
      <c r="C41" s="19">
        <v>15.69</v>
      </c>
      <c r="D41" s="19">
        <v>13.683</v>
      </c>
      <c r="E41" s="19">
        <v>0.58299999999999996</v>
      </c>
      <c r="F41" s="19">
        <v>0.66800000000000004</v>
      </c>
      <c r="G41" s="19">
        <v>2.3130000000000002</v>
      </c>
    </row>
    <row r="42" spans="1:7" x14ac:dyDescent="0.2">
      <c r="A42" s="11"/>
      <c r="B42" s="11"/>
      <c r="C42" s="11"/>
      <c r="D42" s="11"/>
      <c r="E42" s="11"/>
      <c r="F42" s="11"/>
      <c r="G42" s="11"/>
    </row>
    <row r="43" spans="1:7" x14ac:dyDescent="0.2">
      <c r="A43" s="9" t="s">
        <v>592</v>
      </c>
      <c r="B43" s="11"/>
      <c r="C43" s="11"/>
      <c r="D43" s="11"/>
      <c r="E43" s="11"/>
      <c r="F43" s="11"/>
      <c r="G43" s="11"/>
    </row>
    <row r="44" spans="1:7" x14ac:dyDescent="0.2">
      <c r="A44" s="11" t="s">
        <v>593</v>
      </c>
      <c r="B44" s="19">
        <v>9.0449999999999999</v>
      </c>
      <c r="C44" s="19">
        <v>9.3529999999999998</v>
      </c>
      <c r="D44" s="19">
        <v>706.95399999999995</v>
      </c>
      <c r="E44" s="19">
        <v>1211.739</v>
      </c>
      <c r="F44" s="19">
        <v>597.73199999999997</v>
      </c>
      <c r="G44" s="19">
        <v>330.05700000000002</v>
      </c>
    </row>
    <row r="45" spans="1:7" x14ac:dyDescent="0.2">
      <c r="A45" s="11" t="s">
        <v>594</v>
      </c>
      <c r="B45" s="19">
        <v>162.12200000000001</v>
      </c>
      <c r="C45" s="19">
        <v>72.483999999999995</v>
      </c>
      <c r="D45" s="19">
        <v>30.363</v>
      </c>
      <c r="E45" s="19">
        <v>9.8339999999999996</v>
      </c>
      <c r="F45" s="19">
        <v>87.358999999999995</v>
      </c>
      <c r="G45" s="19">
        <v>122.32299999999999</v>
      </c>
    </row>
    <row r="46" spans="1:7" x14ac:dyDescent="0.2">
      <c r="A46" s="11" t="s">
        <v>595</v>
      </c>
      <c r="B46" s="19">
        <v>171.167</v>
      </c>
      <c r="C46" s="19">
        <v>81.837000000000003</v>
      </c>
      <c r="D46" s="19">
        <v>737.31700000000001</v>
      </c>
      <c r="E46" s="19">
        <v>1221.5730000000001</v>
      </c>
      <c r="F46" s="19">
        <v>685.09100000000001</v>
      </c>
      <c r="G46" s="19">
        <v>452.38</v>
      </c>
    </row>
    <row r="47" spans="1:7" x14ac:dyDescent="0.2">
      <c r="A47" s="11"/>
      <c r="B47" s="11"/>
      <c r="C47" s="11"/>
      <c r="D47" s="11"/>
      <c r="E47" s="11"/>
      <c r="F47" s="11"/>
      <c r="G47" s="11"/>
    </row>
    <row r="48" spans="1:7" x14ac:dyDescent="0.2">
      <c r="A48" s="11" t="s">
        <v>596</v>
      </c>
      <c r="B48" s="19">
        <v>4000</v>
      </c>
      <c r="C48" s="19">
        <v>4800</v>
      </c>
      <c r="D48" s="19">
        <v>5486.9530000000004</v>
      </c>
      <c r="E48" s="19">
        <v>7330.723</v>
      </c>
      <c r="F48" s="19">
        <v>5837.4009999999998</v>
      </c>
      <c r="G48" s="19">
        <v>6671.45</v>
      </c>
    </row>
    <row r="49" spans="1:7" x14ac:dyDescent="0.2">
      <c r="A49" s="11" t="s">
        <v>597</v>
      </c>
      <c r="B49" s="19">
        <v>583.94100000000003</v>
      </c>
      <c r="C49" s="19">
        <v>685.94200000000001</v>
      </c>
      <c r="D49" s="19">
        <v>312.93299999999999</v>
      </c>
      <c r="E49" s="19">
        <v>449.75799999999998</v>
      </c>
      <c r="F49" s="19">
        <v>367.65899999999999</v>
      </c>
      <c r="G49" s="19">
        <v>360.86900000000003</v>
      </c>
    </row>
    <row r="50" spans="1:7" x14ac:dyDescent="0.2">
      <c r="A50" s="11" t="s">
        <v>598</v>
      </c>
      <c r="B50" s="19">
        <v>4583.9409999999998</v>
      </c>
      <c r="C50" s="19">
        <v>5485.942</v>
      </c>
      <c r="D50" s="19">
        <v>5799.8860000000004</v>
      </c>
      <c r="E50" s="19">
        <v>7780.4809999999998</v>
      </c>
      <c r="F50" s="19">
        <v>6205.06</v>
      </c>
      <c r="G50" s="19">
        <v>7032.3190000000004</v>
      </c>
    </row>
    <row r="51" spans="1:7" x14ac:dyDescent="0.2">
      <c r="A51" s="11" t="s">
        <v>599</v>
      </c>
      <c r="B51" s="19" t="s">
        <v>30</v>
      </c>
      <c r="C51" s="19" t="s">
        <v>30</v>
      </c>
      <c r="D51" s="19" t="s">
        <v>30</v>
      </c>
      <c r="E51" s="19" t="s">
        <v>30</v>
      </c>
      <c r="F51" s="19" t="s">
        <v>30</v>
      </c>
      <c r="G51" s="19">
        <v>0.73399999999999999</v>
      </c>
    </row>
    <row r="52" spans="1:7" x14ac:dyDescent="0.2">
      <c r="A52" s="11"/>
      <c r="B52" s="11"/>
      <c r="C52" s="11"/>
      <c r="D52" s="11"/>
      <c r="E52" s="11"/>
      <c r="F52" s="11"/>
      <c r="G52" s="11"/>
    </row>
    <row r="53" spans="1:7" x14ac:dyDescent="0.2">
      <c r="A53" s="11"/>
      <c r="B53" s="11" t="s">
        <v>39</v>
      </c>
      <c r="C53" s="11" t="s">
        <v>39</v>
      </c>
      <c r="D53" s="11" t="s">
        <v>39</v>
      </c>
      <c r="E53" s="11" t="s">
        <v>39</v>
      </c>
      <c r="F53" s="11" t="s">
        <v>39</v>
      </c>
      <c r="G53" s="11" t="s">
        <v>39</v>
      </c>
    </row>
    <row r="54" spans="1:7" x14ac:dyDescent="0.2">
      <c r="A54" s="11" t="s">
        <v>157</v>
      </c>
      <c r="B54" s="34">
        <v>44250</v>
      </c>
      <c r="C54" s="34">
        <v>44621</v>
      </c>
      <c r="D54" s="34">
        <v>44981</v>
      </c>
      <c r="E54" s="34">
        <v>45348</v>
      </c>
      <c r="F54" s="34">
        <v>45348</v>
      </c>
      <c r="G54" s="34">
        <v>45348</v>
      </c>
    </row>
    <row r="55" spans="1:7" ht="61.2" x14ac:dyDescent="0.2">
      <c r="A55" s="41" t="s">
        <v>76</v>
      </c>
      <c r="B55" s="12"/>
      <c r="C55" s="12"/>
      <c r="D55" s="12"/>
      <c r="E55" s="12"/>
      <c r="F55" s="12"/>
      <c r="G55" s="12"/>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123"/>
  <sheetViews>
    <sheetView workbookViewId="0"/>
    <sheetView workbookViewId="1"/>
    <sheetView workbookViewId="2"/>
  </sheetViews>
  <sheetFormatPr defaultRowHeight="10.199999999999999" x14ac:dyDescent="0.2"/>
  <cols>
    <col min="1" max="1" width="45.77734375" customWidth="1"/>
    <col min="2" max="7" width="14.77734375" customWidth="1"/>
  </cols>
  <sheetData>
    <row r="5" spans="1:255" ht="16.2" x14ac:dyDescent="0.25">
      <c r="A5" s="1" t="s">
        <v>600</v>
      </c>
    </row>
    <row r="7" spans="1:255" x14ac:dyDescent="0.2">
      <c r="A7" s="2" t="s">
        <v>601</v>
      </c>
      <c r="B7" s="3" t="s">
        <v>602</v>
      </c>
      <c r="C7" t="s">
        <v>82</v>
      </c>
      <c r="D7" s="4" t="s">
        <v>4</v>
      </c>
      <c r="E7" s="3" t="s">
        <v>603</v>
      </c>
      <c r="F7" t="s">
        <v>84</v>
      </c>
    </row>
    <row r="8" spans="1:255" x14ac:dyDescent="0.2">
      <c r="A8" s="4"/>
      <c r="B8" s="3" t="s">
        <v>604</v>
      </c>
      <c r="C8" t="s">
        <v>87</v>
      </c>
      <c r="D8" s="4" t="s">
        <v>4</v>
      </c>
      <c r="E8" s="3" t="s">
        <v>605</v>
      </c>
      <c r="F8" t="s">
        <v>6</v>
      </c>
    </row>
    <row r="9" spans="1:255" x14ac:dyDescent="0.2">
      <c r="A9" s="4"/>
      <c r="B9" s="3" t="s">
        <v>606</v>
      </c>
      <c r="C9" t="s">
        <v>8</v>
      </c>
      <c r="D9" s="4" t="s">
        <v>4</v>
      </c>
      <c r="E9" s="3" t="s">
        <v>607</v>
      </c>
      <c r="F9" t="s">
        <v>10</v>
      </c>
    </row>
    <row r="10" spans="1:255" x14ac:dyDescent="0.2">
      <c r="A10" s="4"/>
      <c r="B10" s="3" t="s">
        <v>608</v>
      </c>
      <c r="C10" s="5" t="s">
        <v>12</v>
      </c>
      <c r="D10" s="4" t="s">
        <v>4</v>
      </c>
      <c r="E10" s="3" t="s">
        <v>609</v>
      </c>
      <c r="F10" t="s">
        <v>92</v>
      </c>
    </row>
    <row r="13" spans="1:255" x14ac:dyDescent="0.2">
      <c r="A13" s="6" t="s">
        <v>610</v>
      </c>
      <c r="B13" s="6"/>
      <c r="C13" s="6"/>
      <c r="D13" s="6"/>
      <c r="E13" s="6"/>
      <c r="F13" s="6"/>
      <c r="G13" s="6"/>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75"/>
      <c r="EC13" s="75"/>
      <c r="ED13" s="75"/>
      <c r="EE13" s="75"/>
      <c r="EF13" s="75"/>
      <c r="EG13" s="75"/>
      <c r="EH13" s="75"/>
      <c r="EI13" s="75"/>
      <c r="EJ13" s="75"/>
      <c r="EK13" s="75"/>
      <c r="EL13" s="75"/>
      <c r="EM13" s="75"/>
      <c r="EN13" s="75"/>
      <c r="EO13" s="75"/>
      <c r="EP13" s="75"/>
      <c r="EQ13" s="75"/>
      <c r="ER13" s="75"/>
      <c r="ES13" s="75"/>
      <c r="ET13" s="75"/>
      <c r="EU13" s="75"/>
      <c r="EV13" s="75"/>
      <c r="EW13" s="75"/>
      <c r="EX13" s="75"/>
      <c r="EY13" s="75"/>
      <c r="EZ13" s="75"/>
      <c r="FA13" s="75"/>
      <c r="FB13" s="75"/>
      <c r="FC13" s="75"/>
      <c r="FD13" s="75"/>
      <c r="FE13" s="75"/>
      <c r="FF13" s="75"/>
      <c r="FG13" s="75"/>
      <c r="FH13" s="75"/>
      <c r="FI13" s="75"/>
      <c r="FJ13" s="75"/>
      <c r="FK13" s="75"/>
      <c r="FL13" s="75"/>
      <c r="FM13" s="75"/>
      <c r="FN13" s="75"/>
      <c r="FO13" s="75"/>
      <c r="FP13" s="75"/>
      <c r="FQ13" s="75"/>
      <c r="FR13" s="75"/>
      <c r="FS13" s="75"/>
      <c r="FT13" s="75"/>
      <c r="FU13" s="75"/>
      <c r="FV13" s="75"/>
      <c r="FW13" s="75"/>
      <c r="FX13" s="75"/>
      <c r="FY13" s="75"/>
      <c r="FZ13" s="75"/>
      <c r="GA13" s="75"/>
      <c r="GB13" s="75"/>
      <c r="GC13" s="75"/>
      <c r="GD13" s="75"/>
      <c r="GE13" s="75"/>
      <c r="GF13" s="75"/>
      <c r="GG13" s="75"/>
      <c r="GH13" s="75"/>
      <c r="GI13" s="75"/>
      <c r="GJ13" s="75"/>
      <c r="GK13" s="75"/>
      <c r="GL13" s="75"/>
      <c r="GM13" s="75"/>
      <c r="GN13" s="75"/>
      <c r="GO13" s="75"/>
      <c r="GP13" s="75"/>
      <c r="GQ13" s="75"/>
      <c r="GR13" s="75"/>
      <c r="GS13" s="75"/>
      <c r="GT13" s="75"/>
      <c r="GU13" s="75"/>
      <c r="GV13" s="75"/>
      <c r="GW13" s="75"/>
      <c r="GX13" s="75"/>
      <c r="GY13" s="75"/>
      <c r="GZ13" s="75"/>
      <c r="HA13" s="75"/>
      <c r="HB13" s="75"/>
      <c r="HC13" s="75"/>
      <c r="HD13" s="75"/>
      <c r="HE13" s="75"/>
      <c r="HF13" s="75"/>
      <c r="HG13" s="75"/>
      <c r="HH13" s="75"/>
      <c r="HI13" s="75"/>
      <c r="HJ13" s="75"/>
      <c r="HK13" s="75"/>
      <c r="HL13" s="75"/>
      <c r="HM13" s="75"/>
      <c r="HN13" s="75"/>
      <c r="HO13" s="75"/>
      <c r="HP13" s="75"/>
      <c r="HQ13" s="75"/>
      <c r="HR13" s="75"/>
      <c r="HS13" s="75"/>
      <c r="HT13" s="75"/>
      <c r="HU13" s="75"/>
      <c r="HV13" s="75"/>
      <c r="HW13" s="75"/>
      <c r="HX13" s="75"/>
      <c r="HY13" s="75"/>
      <c r="HZ13" s="75"/>
      <c r="IA13" s="75"/>
      <c r="IB13" s="75"/>
      <c r="IC13" s="75"/>
      <c r="ID13" s="75"/>
      <c r="IE13" s="75"/>
      <c r="IF13" s="75"/>
      <c r="IG13" s="75"/>
      <c r="IH13" s="75"/>
      <c r="II13" s="75"/>
      <c r="IJ13" s="75"/>
      <c r="IK13" s="75"/>
      <c r="IL13" s="75"/>
      <c r="IM13" s="75"/>
      <c r="IN13" s="75"/>
      <c r="IO13" s="75"/>
      <c r="IP13" s="75"/>
      <c r="IQ13" s="75"/>
      <c r="IR13" s="75"/>
      <c r="IS13" s="75"/>
      <c r="IT13" s="75"/>
      <c r="IU13" s="75"/>
    </row>
    <row r="14" spans="1:255" ht="20.399999999999999" x14ac:dyDescent="0.2">
      <c r="A14" s="7" t="s">
        <v>16</v>
      </c>
      <c r="B14" s="13" t="s">
        <v>264</v>
      </c>
      <c r="C14" s="13" t="s">
        <v>265</v>
      </c>
      <c r="D14" s="13" t="s">
        <v>96</v>
      </c>
      <c r="E14" s="13" t="s">
        <v>266</v>
      </c>
      <c r="F14" s="13" t="s">
        <v>98</v>
      </c>
      <c r="G14" s="13" t="s">
        <v>99</v>
      </c>
    </row>
    <row r="15" spans="1:255" x14ac:dyDescent="0.2">
      <c r="A15" s="8" t="s">
        <v>25</v>
      </c>
      <c r="B15" s="14" t="s">
        <v>26</v>
      </c>
      <c r="C15" s="14" t="s">
        <v>26</v>
      </c>
      <c r="D15" s="14" t="s">
        <v>26</v>
      </c>
      <c r="E15" s="14" t="s">
        <v>26</v>
      </c>
      <c r="F15" s="14" t="s">
        <v>26</v>
      </c>
      <c r="G15" s="14" t="s">
        <v>26</v>
      </c>
    </row>
    <row r="16" spans="1:255" x14ac:dyDescent="0.2">
      <c r="A16" s="9" t="s">
        <v>611</v>
      </c>
      <c r="B16" s="11"/>
      <c r="C16" s="11"/>
      <c r="D16" s="11"/>
      <c r="E16" s="11"/>
      <c r="F16" s="11"/>
      <c r="G16" s="11"/>
    </row>
    <row r="17" spans="1:7" x14ac:dyDescent="0.2">
      <c r="A17" s="9" t="s">
        <v>37</v>
      </c>
      <c r="B17" s="15" t="s">
        <v>30</v>
      </c>
      <c r="C17" s="15" t="s">
        <v>30</v>
      </c>
      <c r="D17" s="15" t="s">
        <v>30</v>
      </c>
      <c r="E17" s="15" t="s">
        <v>30</v>
      </c>
      <c r="F17" s="15">
        <v>100.758</v>
      </c>
      <c r="G17" s="15">
        <v>629.25199999999995</v>
      </c>
    </row>
    <row r="18" spans="1:7" x14ac:dyDescent="0.2">
      <c r="A18" s="11"/>
      <c r="B18" s="11"/>
      <c r="C18" s="11"/>
      <c r="D18" s="11"/>
      <c r="E18" s="11"/>
      <c r="F18" s="11"/>
      <c r="G18" s="11"/>
    </row>
    <row r="19" spans="1:7" x14ac:dyDescent="0.2">
      <c r="A19" s="11" t="s">
        <v>612</v>
      </c>
      <c r="B19" s="19" t="s">
        <v>30</v>
      </c>
      <c r="C19" s="19" t="s">
        <v>30</v>
      </c>
      <c r="D19" s="19" t="s">
        <v>30</v>
      </c>
      <c r="E19" s="19" t="s">
        <v>30</v>
      </c>
      <c r="F19" s="19">
        <v>567.6</v>
      </c>
      <c r="G19" s="19">
        <v>566.81899999999996</v>
      </c>
    </row>
    <row r="20" spans="1:7" x14ac:dyDescent="0.2">
      <c r="A20" s="11" t="s">
        <v>613</v>
      </c>
      <c r="B20" s="19" t="s">
        <v>30</v>
      </c>
      <c r="C20" s="19" t="s">
        <v>30</v>
      </c>
      <c r="D20" s="19" t="s">
        <v>30</v>
      </c>
      <c r="E20" s="19" t="s">
        <v>30</v>
      </c>
      <c r="F20" s="19">
        <v>-54</v>
      </c>
      <c r="G20" s="19">
        <v>-84</v>
      </c>
    </row>
    <row r="21" spans="1:7" x14ac:dyDescent="0.2">
      <c r="A21" s="11" t="s">
        <v>227</v>
      </c>
      <c r="B21" s="19" t="s">
        <v>30</v>
      </c>
      <c r="C21" s="19" t="s">
        <v>30</v>
      </c>
      <c r="D21" s="19" t="s">
        <v>30</v>
      </c>
      <c r="E21" s="19" t="s">
        <v>30</v>
      </c>
      <c r="F21" s="19">
        <v>-23.5</v>
      </c>
      <c r="G21" s="19">
        <v>-0.4</v>
      </c>
    </row>
    <row r="22" spans="1:7" x14ac:dyDescent="0.2">
      <c r="A22" s="11" t="s">
        <v>614</v>
      </c>
      <c r="B22" s="19" t="s">
        <v>30</v>
      </c>
      <c r="C22" s="19" t="s">
        <v>30</v>
      </c>
      <c r="D22" s="19" t="s">
        <v>30</v>
      </c>
      <c r="E22" s="19" t="s">
        <v>30</v>
      </c>
      <c r="F22" s="19">
        <v>385.54199999999997</v>
      </c>
      <c r="G22" s="19">
        <v>-141.6</v>
      </c>
    </row>
    <row r="23" spans="1:7" x14ac:dyDescent="0.2">
      <c r="A23" s="11"/>
      <c r="B23" s="11"/>
      <c r="C23" s="11"/>
      <c r="D23" s="11"/>
      <c r="E23" s="11"/>
      <c r="F23" s="11"/>
      <c r="G23" s="11"/>
    </row>
    <row r="24" spans="1:7" x14ac:dyDescent="0.2">
      <c r="A24" s="9" t="s">
        <v>35</v>
      </c>
      <c r="B24" s="29" t="s">
        <v>30</v>
      </c>
      <c r="C24" s="29" t="s">
        <v>30</v>
      </c>
      <c r="D24" s="29" t="s">
        <v>30</v>
      </c>
      <c r="E24" s="29" t="s">
        <v>30</v>
      </c>
      <c r="F24" s="29">
        <v>976.35599999999999</v>
      </c>
      <c r="G24" s="29">
        <v>970.01800000000003</v>
      </c>
    </row>
    <row r="25" spans="1:7" x14ac:dyDescent="0.2">
      <c r="A25" s="11"/>
      <c r="B25" s="11"/>
      <c r="C25" s="11"/>
      <c r="D25" s="11"/>
      <c r="E25" s="11"/>
      <c r="F25" s="11"/>
      <c r="G25" s="11"/>
    </row>
    <row r="26" spans="1:7" x14ac:dyDescent="0.2">
      <c r="A26" s="11" t="s">
        <v>615</v>
      </c>
      <c r="B26" s="19" t="s">
        <v>30</v>
      </c>
      <c r="C26" s="19" t="s">
        <v>30</v>
      </c>
      <c r="D26" s="19" t="s">
        <v>30</v>
      </c>
      <c r="E26" s="19" t="s">
        <v>30</v>
      </c>
      <c r="F26" s="19">
        <v>978.39700000000005</v>
      </c>
      <c r="G26" s="19">
        <v>972.41300000000001</v>
      </c>
    </row>
    <row r="27" spans="1:7" x14ac:dyDescent="0.2">
      <c r="A27" s="11"/>
      <c r="B27" s="11"/>
      <c r="C27" s="11"/>
      <c r="D27" s="11"/>
      <c r="E27" s="11"/>
      <c r="F27" s="11"/>
      <c r="G27" s="11"/>
    </row>
    <row r="28" spans="1:7" x14ac:dyDescent="0.2">
      <c r="A28" s="9" t="s">
        <v>616</v>
      </c>
      <c r="B28" s="15" t="s">
        <v>30</v>
      </c>
      <c r="C28" s="15" t="s">
        <v>30</v>
      </c>
      <c r="D28" s="15" t="s">
        <v>30</v>
      </c>
      <c r="E28" s="15" t="s">
        <v>30</v>
      </c>
      <c r="F28" s="15">
        <v>976.35599999999999</v>
      </c>
      <c r="G28" s="15">
        <v>970.01800000000003</v>
      </c>
    </row>
    <row r="29" spans="1:7" x14ac:dyDescent="0.2">
      <c r="A29" s="11"/>
      <c r="B29" s="11"/>
      <c r="C29" s="11"/>
      <c r="D29" s="11"/>
      <c r="E29" s="11"/>
      <c r="F29" s="11"/>
      <c r="G29" s="11"/>
    </row>
    <row r="30" spans="1:7" x14ac:dyDescent="0.2">
      <c r="A30" s="9" t="s">
        <v>617</v>
      </c>
      <c r="B30" s="15" t="s">
        <v>30</v>
      </c>
      <c r="C30" s="15" t="s">
        <v>30</v>
      </c>
      <c r="D30" s="15" t="s">
        <v>30</v>
      </c>
      <c r="E30" s="15" t="s">
        <v>30</v>
      </c>
      <c r="F30" s="15">
        <v>976.35599999999999</v>
      </c>
      <c r="G30" s="15">
        <v>970.01800000000003</v>
      </c>
    </row>
    <row r="31" spans="1:7" x14ac:dyDescent="0.2">
      <c r="A31" s="11"/>
      <c r="B31" s="11"/>
      <c r="C31" s="11"/>
      <c r="D31" s="11"/>
      <c r="E31" s="11"/>
      <c r="F31" s="11"/>
      <c r="G31" s="11"/>
    </row>
    <row r="32" spans="1:7" x14ac:dyDescent="0.2">
      <c r="A32" s="9" t="s">
        <v>100</v>
      </c>
      <c r="B32" s="11"/>
      <c r="C32" s="11"/>
      <c r="D32" s="11"/>
      <c r="E32" s="11"/>
      <c r="F32" s="11"/>
      <c r="G32" s="11"/>
    </row>
    <row r="33" spans="1:7" x14ac:dyDescent="0.2">
      <c r="A33" s="9" t="s">
        <v>618</v>
      </c>
      <c r="B33" s="29">
        <v>1149.6030000000001</v>
      </c>
      <c r="C33" s="29">
        <v>1142.3340000000001</v>
      </c>
      <c r="D33" s="29">
        <v>1044.8879999999999</v>
      </c>
      <c r="E33" s="29">
        <v>1349.702</v>
      </c>
      <c r="F33" s="29">
        <v>1710.848</v>
      </c>
      <c r="G33" s="29">
        <v>1767.057</v>
      </c>
    </row>
    <row r="34" spans="1:7" x14ac:dyDescent="0.2">
      <c r="A34" s="11"/>
      <c r="B34" s="11"/>
      <c r="C34" s="11"/>
      <c r="D34" s="11"/>
      <c r="E34" s="11"/>
      <c r="F34" s="11"/>
      <c r="G34" s="11"/>
    </row>
    <row r="35" spans="1:7" x14ac:dyDescent="0.2">
      <c r="A35" s="9" t="s">
        <v>619</v>
      </c>
      <c r="B35" s="11"/>
      <c r="C35" s="11"/>
      <c r="D35" s="11"/>
      <c r="E35" s="11"/>
      <c r="F35" s="11"/>
      <c r="G35" s="11"/>
    </row>
    <row r="36" spans="1:7" x14ac:dyDescent="0.2">
      <c r="A36" s="11" t="s">
        <v>620</v>
      </c>
      <c r="B36" s="19">
        <v>15.159000000000001</v>
      </c>
      <c r="C36" s="19">
        <v>16.55</v>
      </c>
      <c r="D36" s="19">
        <v>13.005000000000001</v>
      </c>
      <c r="E36" s="19">
        <v>14.882999999999999</v>
      </c>
      <c r="F36" s="19">
        <v>16.835999999999999</v>
      </c>
      <c r="G36" s="19">
        <v>16.343</v>
      </c>
    </row>
    <row r="37" spans="1:7" x14ac:dyDescent="0.2">
      <c r="A37" s="9" t="s">
        <v>621</v>
      </c>
      <c r="B37" s="29">
        <v>15.159000000000001</v>
      </c>
      <c r="C37" s="29">
        <v>16.55</v>
      </c>
      <c r="D37" s="29">
        <v>13.005000000000001</v>
      </c>
      <c r="E37" s="29">
        <v>14.882999999999999</v>
      </c>
      <c r="F37" s="29">
        <v>16.835999999999999</v>
      </c>
      <c r="G37" s="29">
        <v>16.343</v>
      </c>
    </row>
    <row r="38" spans="1:7" x14ac:dyDescent="0.2">
      <c r="A38" s="11"/>
      <c r="B38" s="11"/>
      <c r="C38" s="11"/>
      <c r="D38" s="11"/>
      <c r="E38" s="11"/>
      <c r="F38" s="11"/>
      <c r="G38" s="11"/>
    </row>
    <row r="39" spans="1:7" x14ac:dyDescent="0.2">
      <c r="A39" s="9" t="s">
        <v>622</v>
      </c>
      <c r="B39" s="11"/>
      <c r="C39" s="11"/>
      <c r="D39" s="11"/>
      <c r="E39" s="11"/>
      <c r="F39" s="11"/>
      <c r="G39" s="11"/>
    </row>
    <row r="40" spans="1:7" x14ac:dyDescent="0.2">
      <c r="A40" s="11" t="s">
        <v>623</v>
      </c>
      <c r="B40" s="19">
        <v>164.29400000000001</v>
      </c>
      <c r="C40" s="19">
        <v>171.98099999999999</v>
      </c>
      <c r="D40" s="19">
        <v>174.03800000000001</v>
      </c>
      <c r="E40" s="19">
        <v>222.88200000000001</v>
      </c>
      <c r="F40" s="19">
        <v>290.36700000000002</v>
      </c>
      <c r="G40" s="19">
        <v>309.14299999999997</v>
      </c>
    </row>
    <row r="41" spans="1:7" x14ac:dyDescent="0.2">
      <c r="A41" s="11" t="s">
        <v>624</v>
      </c>
      <c r="B41" s="19">
        <v>153.33600000000001</v>
      </c>
      <c r="C41" s="19">
        <v>153.65899999999999</v>
      </c>
      <c r="D41" s="19">
        <v>157.661</v>
      </c>
      <c r="E41" s="19">
        <v>181.256</v>
      </c>
      <c r="F41" s="19">
        <v>224.72900000000001</v>
      </c>
      <c r="G41" s="19">
        <v>231.578</v>
      </c>
    </row>
    <row r="42" spans="1:7" x14ac:dyDescent="0.2">
      <c r="A42" s="11" t="s">
        <v>625</v>
      </c>
      <c r="B42" s="19">
        <v>10.929</v>
      </c>
      <c r="C42" s="19">
        <v>11.311</v>
      </c>
      <c r="D42" s="19">
        <v>11.27</v>
      </c>
      <c r="E42" s="19">
        <v>13.773</v>
      </c>
      <c r="F42" s="19">
        <v>15.811</v>
      </c>
      <c r="G42" s="19">
        <v>15.997</v>
      </c>
    </row>
    <row r="43" spans="1:7" x14ac:dyDescent="0.2">
      <c r="A43" s="9" t="s">
        <v>626</v>
      </c>
      <c r="B43" s="29">
        <v>328.55900000000003</v>
      </c>
      <c r="C43" s="29">
        <v>336.95100000000002</v>
      </c>
      <c r="D43" s="29">
        <v>342.96899999999999</v>
      </c>
      <c r="E43" s="29">
        <v>417.911</v>
      </c>
      <c r="F43" s="29">
        <v>530.90700000000004</v>
      </c>
      <c r="G43" s="29">
        <v>556.71799999999996</v>
      </c>
    </row>
    <row r="44" spans="1:7" x14ac:dyDescent="0.2">
      <c r="A44" s="11"/>
      <c r="B44" s="11"/>
      <c r="C44" s="11"/>
      <c r="D44" s="11"/>
      <c r="E44" s="11"/>
      <c r="F44" s="11"/>
      <c r="G44" s="11"/>
    </row>
    <row r="45" spans="1:7" x14ac:dyDescent="0.2">
      <c r="A45" s="9" t="s">
        <v>627</v>
      </c>
      <c r="B45" s="11"/>
      <c r="C45" s="11"/>
      <c r="D45" s="11"/>
      <c r="E45" s="11"/>
      <c r="F45" s="11"/>
      <c r="G45" s="11"/>
    </row>
    <row r="46" spans="1:7" x14ac:dyDescent="0.2">
      <c r="A46" s="11" t="s">
        <v>628</v>
      </c>
      <c r="B46" s="19">
        <v>94.05</v>
      </c>
      <c r="C46" s="19">
        <v>96.941999999999993</v>
      </c>
      <c r="D46" s="19">
        <v>93.216999999999999</v>
      </c>
      <c r="E46" s="19">
        <v>154.31200000000001</v>
      </c>
      <c r="F46" s="19">
        <v>119.53400000000001</v>
      </c>
      <c r="G46" s="19">
        <v>141.57300000000001</v>
      </c>
    </row>
    <row r="47" spans="1:7" x14ac:dyDescent="0.2">
      <c r="A47" s="11" t="s">
        <v>629</v>
      </c>
      <c r="B47" s="19">
        <v>310.38</v>
      </c>
      <c r="C47" s="19">
        <v>277.87900000000002</v>
      </c>
      <c r="D47" s="19">
        <v>288.95499999999998</v>
      </c>
      <c r="E47" s="19">
        <v>395.32</v>
      </c>
      <c r="F47" s="19">
        <v>505</v>
      </c>
      <c r="G47" s="19">
        <v>507.26499999999999</v>
      </c>
    </row>
    <row r="48" spans="1:7" x14ac:dyDescent="0.2">
      <c r="A48" s="9" t="s">
        <v>630</v>
      </c>
      <c r="B48" s="29">
        <v>404.43</v>
      </c>
      <c r="C48" s="29">
        <v>374.82100000000003</v>
      </c>
      <c r="D48" s="29">
        <v>382.17200000000003</v>
      </c>
      <c r="E48" s="29">
        <v>549.63199999999995</v>
      </c>
      <c r="F48" s="29">
        <v>624.53399999999999</v>
      </c>
      <c r="G48" s="29">
        <v>648.83799999999997</v>
      </c>
    </row>
    <row r="49" spans="1:7" x14ac:dyDescent="0.2">
      <c r="A49" s="11"/>
      <c r="B49" s="11"/>
      <c r="C49" s="11"/>
      <c r="D49" s="11"/>
      <c r="E49" s="11"/>
      <c r="F49" s="11"/>
      <c r="G49" s="11"/>
    </row>
    <row r="50" spans="1:7" x14ac:dyDescent="0.2">
      <c r="A50" s="9" t="s">
        <v>631</v>
      </c>
      <c r="B50" s="15">
        <v>732.98900000000003</v>
      </c>
      <c r="C50" s="15">
        <v>711.77200000000005</v>
      </c>
      <c r="D50" s="15">
        <v>725.14099999999996</v>
      </c>
      <c r="E50" s="15">
        <v>967.54300000000001</v>
      </c>
      <c r="F50" s="15">
        <v>1155.441</v>
      </c>
      <c r="G50" s="15">
        <v>1205.556</v>
      </c>
    </row>
    <row r="51" spans="1:7" x14ac:dyDescent="0.2">
      <c r="A51" s="11"/>
      <c r="B51" s="11"/>
      <c r="C51" s="11"/>
      <c r="D51" s="11"/>
      <c r="E51" s="11"/>
      <c r="F51" s="11"/>
      <c r="G51" s="11"/>
    </row>
    <row r="52" spans="1:7" x14ac:dyDescent="0.2">
      <c r="A52" s="9" t="s">
        <v>632</v>
      </c>
      <c r="B52" s="11"/>
      <c r="C52" s="11"/>
      <c r="D52" s="11"/>
      <c r="E52" s="11"/>
      <c r="F52" s="11"/>
      <c r="G52" s="11"/>
    </row>
    <row r="53" spans="1:7" x14ac:dyDescent="0.2">
      <c r="A53" s="11" t="s">
        <v>633</v>
      </c>
      <c r="B53" s="32">
        <v>0.13281599999999999</v>
      </c>
      <c r="C53" s="32">
        <v>0.134135</v>
      </c>
      <c r="D53" s="32">
        <v>0.12</v>
      </c>
      <c r="E53" s="32">
        <v>0.12271</v>
      </c>
      <c r="F53" s="32">
        <v>0.128326</v>
      </c>
      <c r="G53" s="32">
        <v>0.12928400000000001</v>
      </c>
    </row>
    <row r="54" spans="1:7" x14ac:dyDescent="0.2">
      <c r="A54" s="11" t="s">
        <v>634</v>
      </c>
      <c r="B54" s="18" t="s">
        <v>30</v>
      </c>
      <c r="C54" s="18" t="s">
        <v>30</v>
      </c>
      <c r="D54" s="18" t="s">
        <v>30</v>
      </c>
      <c r="E54" s="18" t="s">
        <v>30</v>
      </c>
      <c r="F54" s="32">
        <v>0.10088</v>
      </c>
      <c r="G54" s="32">
        <v>0.100178</v>
      </c>
    </row>
    <row r="55" spans="1:7" x14ac:dyDescent="0.2">
      <c r="A55" s="11"/>
      <c r="B55" s="11"/>
      <c r="C55" s="11"/>
      <c r="D55" s="11"/>
      <c r="E55" s="11"/>
      <c r="F55" s="11"/>
      <c r="G55" s="11"/>
    </row>
    <row r="56" spans="1:7" x14ac:dyDescent="0.2">
      <c r="A56" s="11" t="s">
        <v>635</v>
      </c>
      <c r="B56" s="18" t="s">
        <v>30</v>
      </c>
      <c r="C56" s="18" t="s">
        <v>30</v>
      </c>
      <c r="D56" s="18" t="s">
        <v>30</v>
      </c>
      <c r="E56" s="18" t="s">
        <v>30</v>
      </c>
      <c r="F56" s="32">
        <v>0.56512399999999996</v>
      </c>
      <c r="G56" s="32">
        <v>0.54391400000000001</v>
      </c>
    </row>
    <row r="57" spans="1:7" x14ac:dyDescent="0.2">
      <c r="A57" s="11"/>
      <c r="B57" s="11"/>
      <c r="C57" s="11"/>
      <c r="D57" s="11"/>
      <c r="E57" s="11"/>
      <c r="F57" s="11"/>
      <c r="G57" s="11"/>
    </row>
    <row r="58" spans="1:7" x14ac:dyDescent="0.2">
      <c r="A58" s="9" t="s">
        <v>636</v>
      </c>
      <c r="B58" s="11"/>
      <c r="C58" s="11"/>
      <c r="D58" s="11"/>
      <c r="E58" s="11"/>
      <c r="F58" s="11"/>
      <c r="G58" s="11"/>
    </row>
    <row r="59" spans="1:7" x14ac:dyDescent="0.2">
      <c r="A59" s="11" t="s">
        <v>637</v>
      </c>
      <c r="B59" s="19">
        <v>9208.7430000000004</v>
      </c>
      <c r="C59" s="19">
        <v>9097.0280000000002</v>
      </c>
      <c r="D59" s="19">
        <v>9324.4869999999992</v>
      </c>
      <c r="E59" s="19">
        <v>15060.064</v>
      </c>
      <c r="F59" s="19">
        <v>15380.464</v>
      </c>
      <c r="G59" s="19">
        <v>15559.763000000001</v>
      </c>
    </row>
    <row r="60" spans="1:7" x14ac:dyDescent="0.2">
      <c r="A60" s="11" t="s">
        <v>638</v>
      </c>
      <c r="B60" s="19">
        <v>2668.4470000000001</v>
      </c>
      <c r="C60" s="19">
        <v>2832.248</v>
      </c>
      <c r="D60" s="19">
        <v>2744.34</v>
      </c>
      <c r="E60" s="19">
        <v>2992.2069999999999</v>
      </c>
      <c r="F60" s="19">
        <v>3133.078</v>
      </c>
      <c r="G60" s="19">
        <v>3378.0309999999999</v>
      </c>
    </row>
    <row r="61" spans="1:7" x14ac:dyDescent="0.2">
      <c r="A61" s="9" t="s">
        <v>639</v>
      </c>
      <c r="B61" s="29">
        <v>11877.19</v>
      </c>
      <c r="C61" s="29">
        <v>11929.276</v>
      </c>
      <c r="D61" s="29">
        <v>12068.826999999999</v>
      </c>
      <c r="E61" s="29">
        <v>18052.271000000001</v>
      </c>
      <c r="F61" s="29">
        <v>18513.542000000001</v>
      </c>
      <c r="G61" s="29">
        <v>18937.794000000002</v>
      </c>
    </row>
    <row r="62" spans="1:7" x14ac:dyDescent="0.2">
      <c r="A62" s="11"/>
      <c r="B62" s="11"/>
      <c r="C62" s="11"/>
      <c r="D62" s="11"/>
      <c r="E62" s="11"/>
      <c r="F62" s="11"/>
      <c r="G62" s="11"/>
    </row>
    <row r="63" spans="1:7" x14ac:dyDescent="0.2">
      <c r="A63" s="9" t="s">
        <v>640</v>
      </c>
      <c r="B63" s="11"/>
      <c r="C63" s="11"/>
      <c r="D63" s="11"/>
      <c r="E63" s="11"/>
      <c r="F63" s="11"/>
      <c r="G63" s="11"/>
    </row>
    <row r="64" spans="1:7" x14ac:dyDescent="0.2">
      <c r="A64" s="11" t="s">
        <v>641</v>
      </c>
      <c r="B64" s="40" t="s">
        <v>30</v>
      </c>
      <c r="C64" s="40" t="s">
        <v>30</v>
      </c>
      <c r="D64" s="40" t="s">
        <v>30</v>
      </c>
      <c r="E64" s="40" t="s">
        <v>30</v>
      </c>
      <c r="F64" s="40" t="s">
        <v>30</v>
      </c>
      <c r="G64" s="40">
        <v>419</v>
      </c>
    </row>
    <row r="65" spans="1:7" x14ac:dyDescent="0.2">
      <c r="A65" s="11" t="s">
        <v>642</v>
      </c>
      <c r="B65" s="40" t="s">
        <v>30</v>
      </c>
      <c r="C65" s="40" t="s">
        <v>30</v>
      </c>
      <c r="D65" s="40" t="s">
        <v>30</v>
      </c>
      <c r="E65" s="40" t="s">
        <v>30</v>
      </c>
      <c r="F65" s="40" t="s">
        <v>30</v>
      </c>
      <c r="G65" s="40">
        <v>419</v>
      </c>
    </row>
    <row r="66" spans="1:7" x14ac:dyDescent="0.2">
      <c r="A66" s="11" t="s">
        <v>643</v>
      </c>
      <c r="B66" s="40" t="s">
        <v>30</v>
      </c>
      <c r="C66" s="40" t="s">
        <v>30</v>
      </c>
      <c r="D66" s="40" t="s">
        <v>30</v>
      </c>
      <c r="E66" s="40" t="s">
        <v>30</v>
      </c>
      <c r="F66" s="40" t="s">
        <v>30</v>
      </c>
      <c r="G66" s="40">
        <v>125</v>
      </c>
    </row>
    <row r="67" spans="1:7" x14ac:dyDescent="0.2">
      <c r="A67" s="9" t="s">
        <v>644</v>
      </c>
      <c r="B67" s="74" t="s">
        <v>30</v>
      </c>
      <c r="C67" s="74" t="s">
        <v>30</v>
      </c>
      <c r="D67" s="74" t="s">
        <v>30</v>
      </c>
      <c r="E67" s="74" t="s">
        <v>30</v>
      </c>
      <c r="F67" s="74" t="s">
        <v>30</v>
      </c>
      <c r="G67" s="74">
        <v>544</v>
      </c>
    </row>
    <row r="68" spans="1:7" x14ac:dyDescent="0.2">
      <c r="A68" s="11"/>
      <c r="B68" s="11"/>
      <c r="C68" s="11"/>
      <c r="D68" s="11"/>
      <c r="E68" s="11"/>
      <c r="F68" s="11"/>
      <c r="G68" s="11"/>
    </row>
    <row r="69" spans="1:7" x14ac:dyDescent="0.2">
      <c r="A69" s="9" t="s">
        <v>645</v>
      </c>
      <c r="B69" s="11"/>
      <c r="C69" s="11"/>
      <c r="D69" s="11"/>
      <c r="E69" s="11"/>
      <c r="F69" s="11"/>
      <c r="G69" s="11"/>
    </row>
    <row r="70" spans="1:7" x14ac:dyDescent="0.2">
      <c r="A70" s="11" t="s">
        <v>646</v>
      </c>
      <c r="B70" s="40" t="s">
        <v>30</v>
      </c>
      <c r="C70" s="40" t="s">
        <v>30</v>
      </c>
      <c r="D70" s="40" t="s">
        <v>30</v>
      </c>
      <c r="E70" s="40" t="s">
        <v>30</v>
      </c>
      <c r="F70" s="40" t="s">
        <v>30</v>
      </c>
      <c r="G70" s="40">
        <v>89678900</v>
      </c>
    </row>
    <row r="71" spans="1:7" x14ac:dyDescent="0.2">
      <c r="A71" s="11" t="s">
        <v>647</v>
      </c>
      <c r="B71" s="40" t="s">
        <v>30</v>
      </c>
      <c r="C71" s="40" t="s">
        <v>30</v>
      </c>
      <c r="D71" s="40" t="s">
        <v>30</v>
      </c>
      <c r="E71" s="40" t="s">
        <v>30</v>
      </c>
      <c r="F71" s="40" t="s">
        <v>30</v>
      </c>
      <c r="G71" s="40">
        <v>26600000</v>
      </c>
    </row>
    <row r="72" spans="1:7" x14ac:dyDescent="0.2">
      <c r="A72" s="9" t="s">
        <v>648</v>
      </c>
      <c r="B72" s="74" t="s">
        <v>30</v>
      </c>
      <c r="C72" s="74" t="s">
        <v>30</v>
      </c>
      <c r="D72" s="74" t="s">
        <v>30</v>
      </c>
      <c r="E72" s="74" t="s">
        <v>30</v>
      </c>
      <c r="F72" s="74" t="s">
        <v>30</v>
      </c>
      <c r="G72" s="74">
        <v>95200000</v>
      </c>
    </row>
    <row r="73" spans="1:7" x14ac:dyDescent="0.2">
      <c r="A73" s="11"/>
      <c r="B73" s="11"/>
      <c r="C73" s="11"/>
      <c r="D73" s="11"/>
      <c r="E73" s="11"/>
      <c r="F73" s="11"/>
      <c r="G73" s="11"/>
    </row>
    <row r="74" spans="1:7" x14ac:dyDescent="0.2">
      <c r="A74" s="11" t="s">
        <v>649</v>
      </c>
      <c r="B74" s="40" t="s">
        <v>30</v>
      </c>
      <c r="C74" s="40" t="s">
        <v>30</v>
      </c>
      <c r="D74" s="40" t="s">
        <v>30</v>
      </c>
      <c r="E74" s="40" t="s">
        <v>30</v>
      </c>
      <c r="F74" s="40" t="s">
        <v>30</v>
      </c>
      <c r="G74" s="40">
        <v>8331438.8466999996</v>
      </c>
    </row>
    <row r="75" spans="1:7" x14ac:dyDescent="0.2">
      <c r="A75" s="11" t="s">
        <v>650</v>
      </c>
      <c r="B75" s="40" t="s">
        <v>30</v>
      </c>
      <c r="C75" s="40" t="s">
        <v>30</v>
      </c>
      <c r="D75" s="40" t="s">
        <v>30</v>
      </c>
      <c r="E75" s="40" t="s">
        <v>30</v>
      </c>
      <c r="F75" s="40" t="s">
        <v>30</v>
      </c>
      <c r="G75" s="40">
        <v>2471219.7999999998</v>
      </c>
    </row>
    <row r="76" spans="1:7" x14ac:dyDescent="0.2">
      <c r="A76" s="9" t="s">
        <v>651</v>
      </c>
      <c r="B76" s="74" t="s">
        <v>30</v>
      </c>
      <c r="C76" s="74" t="s">
        <v>30</v>
      </c>
      <c r="D76" s="74" t="s">
        <v>30</v>
      </c>
      <c r="E76" s="74" t="s">
        <v>30</v>
      </c>
      <c r="F76" s="74" t="s">
        <v>30</v>
      </c>
      <c r="G76" s="74">
        <v>8844365.5999999996</v>
      </c>
    </row>
    <row r="77" spans="1:7" x14ac:dyDescent="0.2">
      <c r="A77" s="11"/>
      <c r="B77" s="11"/>
      <c r="C77" s="11"/>
      <c r="D77" s="11"/>
      <c r="E77" s="11"/>
      <c r="F77" s="11"/>
      <c r="G77" s="11"/>
    </row>
    <row r="78" spans="1:7" x14ac:dyDescent="0.2">
      <c r="A78" s="11" t="s">
        <v>652</v>
      </c>
      <c r="B78" s="18" t="s">
        <v>30</v>
      </c>
      <c r="C78" s="18" t="s">
        <v>30</v>
      </c>
      <c r="D78" s="18" t="s">
        <v>30</v>
      </c>
      <c r="E78" s="18" t="s">
        <v>30</v>
      </c>
      <c r="F78" s="18" t="s">
        <v>30</v>
      </c>
      <c r="G78" s="32">
        <v>0.96199999999999997</v>
      </c>
    </row>
    <row r="79" spans="1:7" x14ac:dyDescent="0.2">
      <c r="A79" s="11"/>
      <c r="B79" s="11"/>
      <c r="C79" s="11"/>
      <c r="D79" s="11"/>
      <c r="E79" s="11"/>
      <c r="F79" s="11"/>
      <c r="G79" s="11"/>
    </row>
    <row r="80" spans="1:7" x14ac:dyDescent="0.2">
      <c r="A80" s="11" t="s">
        <v>653</v>
      </c>
      <c r="B80" s="18" t="s">
        <v>30</v>
      </c>
      <c r="C80" s="18" t="s">
        <v>30</v>
      </c>
      <c r="D80" s="18" t="s">
        <v>30</v>
      </c>
      <c r="E80" s="18" t="s">
        <v>30</v>
      </c>
      <c r="F80" s="32">
        <v>0.95499999999999996</v>
      </c>
      <c r="G80" s="32">
        <v>0.96099999999999997</v>
      </c>
    </row>
    <row r="81" spans="1:7" x14ac:dyDescent="0.2">
      <c r="A81" s="11"/>
      <c r="B81" s="11"/>
      <c r="C81" s="11"/>
      <c r="D81" s="11"/>
      <c r="E81" s="11"/>
      <c r="F81" s="11"/>
      <c r="G81" s="11"/>
    </row>
    <row r="82" spans="1:7" x14ac:dyDescent="0.2">
      <c r="A82" s="9" t="s">
        <v>654</v>
      </c>
      <c r="B82" s="11"/>
      <c r="C82" s="11"/>
      <c r="D82" s="11"/>
      <c r="E82" s="11"/>
      <c r="F82" s="11"/>
      <c r="G82" s="11"/>
    </row>
    <row r="83" spans="1:7" x14ac:dyDescent="0.2">
      <c r="A83" s="11" t="s">
        <v>655</v>
      </c>
      <c r="B83" s="19">
        <v>763.04499999999996</v>
      </c>
      <c r="C83" s="19">
        <v>772.51800000000003</v>
      </c>
      <c r="D83" s="19">
        <v>707.83399999999995</v>
      </c>
      <c r="E83" s="19">
        <v>1128.914</v>
      </c>
      <c r="F83" s="19">
        <v>1199.1320000000001</v>
      </c>
      <c r="G83" s="19">
        <v>1231.893</v>
      </c>
    </row>
    <row r="84" spans="1:7" x14ac:dyDescent="0.2">
      <c r="A84" s="11"/>
      <c r="B84" s="11"/>
      <c r="C84" s="11"/>
      <c r="D84" s="11"/>
      <c r="E84" s="11"/>
      <c r="F84" s="11"/>
      <c r="G84" s="11"/>
    </row>
    <row r="85" spans="1:7" x14ac:dyDescent="0.2">
      <c r="A85" s="11" t="s">
        <v>656</v>
      </c>
      <c r="B85" s="19">
        <v>100.717</v>
      </c>
      <c r="C85" s="19">
        <v>98.238</v>
      </c>
      <c r="D85" s="19">
        <v>75.980999999999995</v>
      </c>
      <c r="E85" s="19">
        <v>107.95</v>
      </c>
      <c r="F85" s="19">
        <v>126.884</v>
      </c>
      <c r="G85" s="19">
        <v>82.986999999999995</v>
      </c>
    </row>
    <row r="86" spans="1:7" x14ac:dyDescent="0.2">
      <c r="A86" s="11" t="s">
        <v>657</v>
      </c>
      <c r="B86" s="19" t="s">
        <v>30</v>
      </c>
      <c r="C86" s="19" t="s">
        <v>30</v>
      </c>
      <c r="D86" s="19" t="s">
        <v>30</v>
      </c>
      <c r="E86" s="19" t="s">
        <v>30</v>
      </c>
      <c r="F86" s="19">
        <v>66.325999999999993</v>
      </c>
      <c r="G86" s="19">
        <v>64.471999999999994</v>
      </c>
    </row>
    <row r="87" spans="1:7" x14ac:dyDescent="0.2">
      <c r="A87" s="11"/>
      <c r="B87" s="11"/>
      <c r="C87" s="11"/>
      <c r="D87" s="11"/>
      <c r="E87" s="11"/>
      <c r="F87" s="11"/>
      <c r="G87" s="11"/>
    </row>
    <row r="88" spans="1:7" x14ac:dyDescent="0.2">
      <c r="A88" s="9" t="s">
        <v>658</v>
      </c>
      <c r="B88" s="11"/>
      <c r="C88" s="11"/>
      <c r="D88" s="11"/>
      <c r="E88" s="11"/>
      <c r="F88" s="11"/>
      <c r="G88" s="11"/>
    </row>
    <row r="89" spans="1:7" x14ac:dyDescent="0.2">
      <c r="A89" s="11" t="s">
        <v>659</v>
      </c>
      <c r="B89" s="19">
        <v>816.4</v>
      </c>
      <c r="C89" s="19">
        <v>827.4</v>
      </c>
      <c r="D89" s="19">
        <v>848.8</v>
      </c>
      <c r="E89" s="19">
        <v>1186.0999999999999</v>
      </c>
      <c r="F89" s="19">
        <v>1239.4000000000001</v>
      </c>
      <c r="G89" s="19">
        <v>1351</v>
      </c>
    </row>
    <row r="90" spans="1:7" x14ac:dyDescent="0.2">
      <c r="A90" s="11" t="s">
        <v>660</v>
      </c>
      <c r="B90" s="19">
        <v>769.1</v>
      </c>
      <c r="C90" s="19">
        <v>773.6</v>
      </c>
      <c r="D90" s="19">
        <v>741</v>
      </c>
      <c r="E90" s="19">
        <v>1066.7</v>
      </c>
      <c r="F90" s="19">
        <v>1130.8</v>
      </c>
      <c r="G90" s="19">
        <v>1258.7</v>
      </c>
    </row>
    <row r="91" spans="1:7" x14ac:dyDescent="0.2">
      <c r="A91" s="11" t="s">
        <v>661</v>
      </c>
      <c r="B91" s="19">
        <v>690.7</v>
      </c>
      <c r="C91" s="19">
        <v>680.9</v>
      </c>
      <c r="D91" s="19">
        <v>645.29999999999995</v>
      </c>
      <c r="E91" s="19">
        <v>922.6</v>
      </c>
      <c r="F91" s="19">
        <v>989.9</v>
      </c>
      <c r="G91" s="19">
        <v>1111.4000000000001</v>
      </c>
    </row>
    <row r="92" spans="1:7" x14ac:dyDescent="0.2">
      <c r="A92" s="11" t="s">
        <v>662</v>
      </c>
      <c r="B92" s="19">
        <v>594.6</v>
      </c>
      <c r="C92" s="19">
        <v>582</v>
      </c>
      <c r="D92" s="19">
        <v>549.9</v>
      </c>
      <c r="E92" s="19">
        <v>780.2</v>
      </c>
      <c r="F92" s="19">
        <v>840.5</v>
      </c>
      <c r="G92" s="19">
        <v>938.5</v>
      </c>
    </row>
    <row r="93" spans="1:7" x14ac:dyDescent="0.2">
      <c r="A93" s="11" t="s">
        <v>663</v>
      </c>
      <c r="B93" s="19">
        <v>492.6</v>
      </c>
      <c r="C93" s="19">
        <v>485.4</v>
      </c>
      <c r="D93" s="19">
        <v>457.8</v>
      </c>
      <c r="E93" s="19">
        <v>636.4</v>
      </c>
      <c r="F93" s="19">
        <v>674.4</v>
      </c>
      <c r="G93" s="19">
        <v>741.7</v>
      </c>
    </row>
    <row r="94" spans="1:7" x14ac:dyDescent="0.2">
      <c r="A94" s="11" t="s">
        <v>664</v>
      </c>
      <c r="B94" s="19">
        <v>3363.4</v>
      </c>
      <c r="C94" s="19">
        <v>3349.3</v>
      </c>
      <c r="D94" s="19">
        <v>3242.8</v>
      </c>
      <c r="E94" s="19">
        <v>4592</v>
      </c>
      <c r="F94" s="19">
        <v>4875</v>
      </c>
      <c r="G94" s="19">
        <v>5401.3</v>
      </c>
    </row>
    <row r="95" spans="1:7" x14ac:dyDescent="0.2">
      <c r="A95" s="11" t="s">
        <v>665</v>
      </c>
      <c r="B95" s="19">
        <v>2540.1999999999998</v>
      </c>
      <c r="C95" s="19">
        <v>2658.1</v>
      </c>
      <c r="D95" s="19">
        <v>2403.3000000000002</v>
      </c>
      <c r="E95" s="19">
        <v>2779.2</v>
      </c>
      <c r="F95" s="19">
        <v>2862.3</v>
      </c>
      <c r="G95" s="19">
        <v>3224.1</v>
      </c>
    </row>
    <row r="96" spans="1:7" x14ac:dyDescent="0.2">
      <c r="A96" s="9" t="s">
        <v>666</v>
      </c>
      <c r="B96" s="29">
        <v>5903.6</v>
      </c>
      <c r="C96" s="29">
        <v>6007.4</v>
      </c>
      <c r="D96" s="29">
        <v>5646.1</v>
      </c>
      <c r="E96" s="29">
        <v>7371.2</v>
      </c>
      <c r="F96" s="29">
        <v>7737.3</v>
      </c>
      <c r="G96" s="29">
        <v>8625.4</v>
      </c>
    </row>
    <row r="97" spans="1:7" x14ac:dyDescent="0.2">
      <c r="A97" s="11"/>
      <c r="B97" s="11"/>
      <c r="C97" s="11"/>
      <c r="D97" s="11"/>
      <c r="E97" s="11"/>
      <c r="F97" s="11"/>
      <c r="G97" s="11"/>
    </row>
    <row r="98" spans="1:7" x14ac:dyDescent="0.2">
      <c r="A98" s="11" t="s">
        <v>667</v>
      </c>
      <c r="B98" s="19">
        <v>65.787999999999997</v>
      </c>
      <c r="C98" s="19">
        <v>63.472999999999999</v>
      </c>
      <c r="D98" s="19">
        <v>74.975999999999999</v>
      </c>
      <c r="E98" s="19">
        <v>103.68</v>
      </c>
      <c r="F98" s="19">
        <v>101.262</v>
      </c>
      <c r="G98" s="19">
        <v>85.798000000000002</v>
      </c>
    </row>
    <row r="99" spans="1:7" x14ac:dyDescent="0.2">
      <c r="A99" s="11" t="s">
        <v>668</v>
      </c>
      <c r="B99" s="19">
        <v>88.643000000000001</v>
      </c>
      <c r="C99" s="19">
        <v>90.813999999999993</v>
      </c>
      <c r="D99" s="19">
        <v>98.68</v>
      </c>
      <c r="E99" s="19">
        <v>145.03100000000001</v>
      </c>
      <c r="F99" s="19">
        <v>146.98500000000001</v>
      </c>
      <c r="G99" s="19">
        <v>150.601</v>
      </c>
    </row>
    <row r="100" spans="1:7" x14ac:dyDescent="0.2">
      <c r="A100" s="11" t="s">
        <v>669</v>
      </c>
      <c r="B100" s="19">
        <v>90.977000000000004</v>
      </c>
      <c r="C100" s="19">
        <v>103.10899999999999</v>
      </c>
      <c r="D100" s="19">
        <v>98.263999999999996</v>
      </c>
      <c r="E100" s="19">
        <v>147.56399999999999</v>
      </c>
      <c r="F100" s="19">
        <v>152.93100000000001</v>
      </c>
      <c r="G100" s="19">
        <v>164.58</v>
      </c>
    </row>
    <row r="101" spans="1:7" x14ac:dyDescent="0.2">
      <c r="A101" s="11" t="s">
        <v>670</v>
      </c>
      <c r="B101" s="19">
        <v>102.944</v>
      </c>
      <c r="C101" s="19">
        <v>98.736999999999995</v>
      </c>
      <c r="D101" s="19">
        <v>93.61</v>
      </c>
      <c r="E101" s="19">
        <v>142.26499999999999</v>
      </c>
      <c r="F101" s="19">
        <v>158.673</v>
      </c>
      <c r="G101" s="19">
        <v>177.095</v>
      </c>
    </row>
    <row r="102" spans="1:7" x14ac:dyDescent="0.2">
      <c r="A102" s="11" t="s">
        <v>671</v>
      </c>
      <c r="B102" s="19">
        <v>101.49299999999999</v>
      </c>
      <c r="C102" s="19">
        <v>95.317999999999998</v>
      </c>
      <c r="D102" s="19">
        <v>92.694999999999993</v>
      </c>
      <c r="E102" s="19">
        <v>150.01400000000001</v>
      </c>
      <c r="F102" s="19">
        <v>175.09100000000001</v>
      </c>
      <c r="G102" s="19">
        <v>200.255</v>
      </c>
    </row>
    <row r="103" spans="1:7" x14ac:dyDescent="0.2">
      <c r="A103" s="11" t="s">
        <v>672</v>
      </c>
      <c r="B103" s="19">
        <v>449.84500000000003</v>
      </c>
      <c r="C103" s="19">
        <v>451.45100000000002</v>
      </c>
      <c r="D103" s="19">
        <v>458.22500000000002</v>
      </c>
      <c r="E103" s="19">
        <v>688.55399999999997</v>
      </c>
      <c r="F103" s="19">
        <v>734.94200000000001</v>
      </c>
      <c r="G103" s="19">
        <v>778.32899999999995</v>
      </c>
    </row>
    <row r="104" spans="1:7" x14ac:dyDescent="0.2">
      <c r="A104" s="11" t="s">
        <v>673</v>
      </c>
      <c r="B104" s="19">
        <v>269.35500000000002</v>
      </c>
      <c r="C104" s="19">
        <v>274.09300000000002</v>
      </c>
      <c r="D104" s="19">
        <v>266.69</v>
      </c>
      <c r="E104" s="19">
        <v>383.75700000000001</v>
      </c>
      <c r="F104" s="19">
        <v>385.55500000000001</v>
      </c>
      <c r="G104" s="19">
        <v>366.79300000000001</v>
      </c>
    </row>
    <row r="105" spans="1:7" x14ac:dyDescent="0.2">
      <c r="A105" s="9" t="s">
        <v>674</v>
      </c>
      <c r="B105" s="29">
        <v>719.2</v>
      </c>
      <c r="C105" s="29">
        <v>725.54399999999998</v>
      </c>
      <c r="D105" s="29">
        <v>724.91499999999996</v>
      </c>
      <c r="E105" s="29">
        <v>1072.3109999999999</v>
      </c>
      <c r="F105" s="29">
        <v>1120.4970000000001</v>
      </c>
      <c r="G105" s="29">
        <v>1145.1220000000001</v>
      </c>
    </row>
    <row r="106" spans="1:7" x14ac:dyDescent="0.2">
      <c r="A106" s="11"/>
      <c r="B106" s="11"/>
      <c r="C106" s="11"/>
      <c r="D106" s="11"/>
      <c r="E106" s="11"/>
      <c r="F106" s="11"/>
      <c r="G106" s="11"/>
    </row>
    <row r="107" spans="1:7" x14ac:dyDescent="0.2">
      <c r="A107" s="9" t="s">
        <v>675</v>
      </c>
      <c r="B107" s="11"/>
      <c r="C107" s="11"/>
      <c r="D107" s="11"/>
      <c r="E107" s="11"/>
      <c r="F107" s="11"/>
      <c r="G107" s="11"/>
    </row>
    <row r="108" spans="1:7" x14ac:dyDescent="0.2">
      <c r="A108" s="11" t="s">
        <v>676</v>
      </c>
      <c r="B108" s="19" t="s">
        <v>30</v>
      </c>
      <c r="C108" s="19" t="s">
        <v>30</v>
      </c>
      <c r="D108" s="19" t="s">
        <v>30</v>
      </c>
      <c r="E108" s="19" t="s">
        <v>30</v>
      </c>
      <c r="F108" s="19">
        <v>1344.9359999999999</v>
      </c>
      <c r="G108" s="19">
        <v>1369.242</v>
      </c>
    </row>
    <row r="109" spans="1:7" x14ac:dyDescent="0.2">
      <c r="A109" s="11" t="s">
        <v>677</v>
      </c>
      <c r="B109" s="19" t="s">
        <v>30</v>
      </c>
      <c r="C109" s="19" t="s">
        <v>30</v>
      </c>
      <c r="D109" s="19" t="s">
        <v>30</v>
      </c>
      <c r="E109" s="19" t="s">
        <v>30</v>
      </c>
      <c r="F109" s="19">
        <v>1276.3879999999999</v>
      </c>
      <c r="G109" s="19">
        <v>1306.885</v>
      </c>
    </row>
    <row r="110" spans="1:7" x14ac:dyDescent="0.2">
      <c r="A110" s="11" t="s">
        <v>678</v>
      </c>
      <c r="B110" s="18" t="s">
        <v>30</v>
      </c>
      <c r="C110" s="18" t="s">
        <v>30</v>
      </c>
      <c r="D110" s="18" t="s">
        <v>30</v>
      </c>
      <c r="E110" s="18" t="s">
        <v>30</v>
      </c>
      <c r="F110" s="18" t="s">
        <v>30</v>
      </c>
      <c r="G110" s="32">
        <v>2.4E-2</v>
      </c>
    </row>
    <row r="111" spans="1:7" x14ac:dyDescent="0.2">
      <c r="A111" s="11"/>
      <c r="B111" s="11"/>
      <c r="C111" s="11"/>
      <c r="D111" s="11"/>
      <c r="E111" s="11"/>
      <c r="F111" s="11"/>
      <c r="G111" s="11"/>
    </row>
    <row r="112" spans="1:7" x14ac:dyDescent="0.2">
      <c r="A112" s="11" t="s">
        <v>679</v>
      </c>
      <c r="B112" s="31" t="s">
        <v>30</v>
      </c>
      <c r="C112" s="31" t="s">
        <v>30</v>
      </c>
      <c r="D112" s="31" t="s">
        <v>30</v>
      </c>
      <c r="E112" s="31" t="s">
        <v>30</v>
      </c>
      <c r="F112" s="22">
        <v>1.59</v>
      </c>
      <c r="G112" s="22">
        <v>1.57</v>
      </c>
    </row>
    <row r="113" spans="1:7" x14ac:dyDescent="0.2">
      <c r="A113" s="11" t="s">
        <v>680</v>
      </c>
      <c r="B113" s="19" t="s">
        <v>30</v>
      </c>
      <c r="C113" s="19" t="s">
        <v>30</v>
      </c>
      <c r="D113" s="19" t="s">
        <v>30</v>
      </c>
      <c r="E113" s="19" t="s">
        <v>30</v>
      </c>
      <c r="F113" s="19">
        <v>615.52800000000002</v>
      </c>
      <c r="G113" s="19">
        <v>616.947</v>
      </c>
    </row>
    <row r="114" spans="1:7" x14ac:dyDescent="0.2">
      <c r="A114" s="11"/>
      <c r="B114" s="11"/>
      <c r="C114" s="11"/>
      <c r="D114" s="11"/>
      <c r="E114" s="11"/>
      <c r="F114" s="11"/>
      <c r="G114" s="11"/>
    </row>
    <row r="115" spans="1:7" x14ac:dyDescent="0.2">
      <c r="A115" s="11" t="s">
        <v>681</v>
      </c>
      <c r="B115" s="31" t="s">
        <v>30</v>
      </c>
      <c r="C115" s="31" t="s">
        <v>30</v>
      </c>
      <c r="D115" s="31" t="s">
        <v>30</v>
      </c>
      <c r="E115" s="31" t="s">
        <v>30</v>
      </c>
      <c r="F115" s="22">
        <v>1.58</v>
      </c>
      <c r="G115" s="22">
        <v>1.57</v>
      </c>
    </row>
    <row r="116" spans="1:7" x14ac:dyDescent="0.2">
      <c r="A116" s="11" t="s">
        <v>682</v>
      </c>
      <c r="B116" s="19" t="s">
        <v>30</v>
      </c>
      <c r="C116" s="19" t="s">
        <v>30</v>
      </c>
      <c r="D116" s="19" t="s">
        <v>30</v>
      </c>
      <c r="E116" s="19" t="s">
        <v>30</v>
      </c>
      <c r="F116" s="19">
        <v>620.303</v>
      </c>
      <c r="G116" s="19">
        <v>620.45899999999995</v>
      </c>
    </row>
    <row r="117" spans="1:7" x14ac:dyDescent="0.2">
      <c r="A117" s="11"/>
      <c r="B117" s="11"/>
      <c r="C117" s="11"/>
      <c r="D117" s="11"/>
      <c r="E117" s="11"/>
      <c r="F117" s="11"/>
      <c r="G117" s="11"/>
    </row>
    <row r="118" spans="1:7" x14ac:dyDescent="0.2">
      <c r="A118" s="11" t="s">
        <v>683</v>
      </c>
      <c r="B118" s="31" t="s">
        <v>30</v>
      </c>
      <c r="C118" s="31" t="s">
        <v>30</v>
      </c>
      <c r="D118" s="31" t="s">
        <v>30</v>
      </c>
      <c r="E118" s="31" t="s">
        <v>30</v>
      </c>
      <c r="F118" s="22">
        <v>1.59</v>
      </c>
      <c r="G118" s="22">
        <v>1.57</v>
      </c>
    </row>
    <row r="119" spans="1:7" x14ac:dyDescent="0.2">
      <c r="A119" s="11" t="s">
        <v>684</v>
      </c>
      <c r="B119" s="31" t="s">
        <v>30</v>
      </c>
      <c r="C119" s="31" t="s">
        <v>30</v>
      </c>
      <c r="D119" s="31" t="s">
        <v>30</v>
      </c>
      <c r="E119" s="31" t="s">
        <v>30</v>
      </c>
      <c r="F119" s="22">
        <v>1.57</v>
      </c>
      <c r="G119" s="22">
        <v>1.56</v>
      </c>
    </row>
    <row r="120" spans="1:7" x14ac:dyDescent="0.2">
      <c r="A120" s="11"/>
      <c r="B120" s="11"/>
      <c r="C120" s="11"/>
      <c r="D120" s="11"/>
      <c r="E120" s="11"/>
      <c r="F120" s="11"/>
      <c r="G120" s="11"/>
    </row>
    <row r="121" spans="1:7" x14ac:dyDescent="0.2">
      <c r="A121" s="11"/>
      <c r="B121" s="11" t="s">
        <v>39</v>
      </c>
      <c r="C121" s="11" t="s">
        <v>39</v>
      </c>
      <c r="D121" s="11" t="s">
        <v>39</v>
      </c>
      <c r="E121" s="11" t="s">
        <v>39</v>
      </c>
      <c r="F121" s="11" t="s">
        <v>39</v>
      </c>
      <c r="G121" s="11" t="s">
        <v>39</v>
      </c>
    </row>
    <row r="122" spans="1:7" x14ac:dyDescent="0.2">
      <c r="A122" s="11" t="s">
        <v>157</v>
      </c>
      <c r="B122" s="34">
        <v>44250</v>
      </c>
      <c r="C122" s="34">
        <v>44621</v>
      </c>
      <c r="D122" s="34">
        <v>44981</v>
      </c>
      <c r="E122" s="34">
        <v>45348</v>
      </c>
      <c r="F122" s="34">
        <v>45348</v>
      </c>
      <c r="G122" s="34">
        <v>45348</v>
      </c>
    </row>
    <row r="123" spans="1:7" ht="61.2" x14ac:dyDescent="0.2">
      <c r="A123" s="41" t="s">
        <v>76</v>
      </c>
      <c r="B123" s="12"/>
      <c r="C123" s="12"/>
      <c r="D123" s="12"/>
      <c r="E123" s="12"/>
      <c r="F123" s="12"/>
      <c r="G123" s="12"/>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130"/>
  <sheetViews>
    <sheetView workbookViewId="0"/>
    <sheetView workbookViewId="1"/>
    <sheetView workbookViewId="2"/>
  </sheetViews>
  <sheetFormatPr defaultRowHeight="10.199999999999999" x14ac:dyDescent="0.2"/>
  <cols>
    <col min="1" max="1" width="45.77734375" customWidth="1"/>
    <col min="2" max="7" width="14.77734375" customWidth="1"/>
  </cols>
  <sheetData>
    <row r="5" spans="1:255" ht="16.2" x14ac:dyDescent="0.25">
      <c r="A5" s="1" t="s">
        <v>685</v>
      </c>
    </row>
    <row r="7" spans="1:255" x14ac:dyDescent="0.2">
      <c r="A7" s="2" t="s">
        <v>686</v>
      </c>
      <c r="B7" s="3" t="s">
        <v>687</v>
      </c>
      <c r="C7" t="s">
        <v>82</v>
      </c>
      <c r="D7" s="4" t="s">
        <v>4</v>
      </c>
      <c r="E7" s="3" t="s">
        <v>688</v>
      </c>
      <c r="F7" t="s">
        <v>84</v>
      </c>
    </row>
    <row r="8" spans="1:255" x14ac:dyDescent="0.2">
      <c r="A8" s="4"/>
      <c r="B8" s="3" t="s">
        <v>689</v>
      </c>
      <c r="C8" t="s">
        <v>87</v>
      </c>
      <c r="D8" s="4" t="s">
        <v>4</v>
      </c>
      <c r="E8" s="3" t="s">
        <v>690</v>
      </c>
      <c r="F8" t="s">
        <v>6</v>
      </c>
    </row>
    <row r="9" spans="1:255" x14ac:dyDescent="0.2">
      <c r="A9" s="4"/>
      <c r="B9" s="3" t="s">
        <v>691</v>
      </c>
      <c r="C9" t="s">
        <v>8</v>
      </c>
      <c r="D9" s="4" t="s">
        <v>4</v>
      </c>
      <c r="E9" s="3" t="s">
        <v>692</v>
      </c>
      <c r="F9" t="s">
        <v>10</v>
      </c>
    </row>
    <row r="10" spans="1:255" x14ac:dyDescent="0.2">
      <c r="A10" s="4"/>
      <c r="B10" s="3" t="s">
        <v>693</v>
      </c>
      <c r="C10" s="5" t="s">
        <v>12</v>
      </c>
      <c r="D10" s="4" t="s">
        <v>4</v>
      </c>
      <c r="E10" s="3" t="s">
        <v>694</v>
      </c>
      <c r="F10" t="s">
        <v>92</v>
      </c>
    </row>
    <row r="13" spans="1:255" x14ac:dyDescent="0.2">
      <c r="A13" s="6" t="s">
        <v>695</v>
      </c>
      <c r="B13" s="6"/>
      <c r="C13" s="6"/>
      <c r="D13" s="6"/>
      <c r="E13" s="6"/>
      <c r="F13" s="6"/>
      <c r="G13" s="6"/>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75"/>
      <c r="EC13" s="75"/>
      <c r="ED13" s="75"/>
      <c r="EE13" s="75"/>
      <c r="EF13" s="75"/>
      <c r="EG13" s="75"/>
      <c r="EH13" s="75"/>
      <c r="EI13" s="75"/>
      <c r="EJ13" s="75"/>
      <c r="EK13" s="75"/>
      <c r="EL13" s="75"/>
      <c r="EM13" s="75"/>
      <c r="EN13" s="75"/>
      <c r="EO13" s="75"/>
      <c r="EP13" s="75"/>
      <c r="EQ13" s="75"/>
      <c r="ER13" s="75"/>
      <c r="ES13" s="75"/>
      <c r="ET13" s="75"/>
      <c r="EU13" s="75"/>
      <c r="EV13" s="75"/>
      <c r="EW13" s="75"/>
      <c r="EX13" s="75"/>
      <c r="EY13" s="75"/>
      <c r="EZ13" s="75"/>
      <c r="FA13" s="75"/>
      <c r="FB13" s="75"/>
      <c r="FC13" s="75"/>
      <c r="FD13" s="75"/>
      <c r="FE13" s="75"/>
      <c r="FF13" s="75"/>
      <c r="FG13" s="75"/>
      <c r="FH13" s="75"/>
      <c r="FI13" s="75"/>
      <c r="FJ13" s="75"/>
      <c r="FK13" s="75"/>
      <c r="FL13" s="75"/>
      <c r="FM13" s="75"/>
      <c r="FN13" s="75"/>
      <c r="FO13" s="75"/>
      <c r="FP13" s="75"/>
      <c r="FQ13" s="75"/>
      <c r="FR13" s="75"/>
      <c r="FS13" s="75"/>
      <c r="FT13" s="75"/>
      <c r="FU13" s="75"/>
      <c r="FV13" s="75"/>
      <c r="FW13" s="75"/>
      <c r="FX13" s="75"/>
      <c r="FY13" s="75"/>
      <c r="FZ13" s="75"/>
      <c r="GA13" s="75"/>
      <c r="GB13" s="75"/>
      <c r="GC13" s="75"/>
      <c r="GD13" s="75"/>
      <c r="GE13" s="75"/>
      <c r="GF13" s="75"/>
      <c r="GG13" s="75"/>
      <c r="GH13" s="75"/>
      <c r="GI13" s="75"/>
      <c r="GJ13" s="75"/>
      <c r="GK13" s="75"/>
      <c r="GL13" s="75"/>
      <c r="GM13" s="75"/>
      <c r="GN13" s="75"/>
      <c r="GO13" s="75"/>
      <c r="GP13" s="75"/>
      <c r="GQ13" s="75"/>
      <c r="GR13" s="75"/>
      <c r="GS13" s="75"/>
      <c r="GT13" s="75"/>
      <c r="GU13" s="75"/>
      <c r="GV13" s="75"/>
      <c r="GW13" s="75"/>
      <c r="GX13" s="75"/>
      <c r="GY13" s="75"/>
      <c r="GZ13" s="75"/>
      <c r="HA13" s="75"/>
      <c r="HB13" s="75"/>
      <c r="HC13" s="75"/>
      <c r="HD13" s="75"/>
      <c r="HE13" s="75"/>
      <c r="HF13" s="75"/>
      <c r="HG13" s="75"/>
      <c r="HH13" s="75"/>
      <c r="HI13" s="75"/>
      <c r="HJ13" s="75"/>
      <c r="HK13" s="75"/>
      <c r="HL13" s="75"/>
      <c r="HM13" s="75"/>
      <c r="HN13" s="75"/>
      <c r="HO13" s="75"/>
      <c r="HP13" s="75"/>
      <c r="HQ13" s="75"/>
      <c r="HR13" s="75"/>
      <c r="HS13" s="75"/>
      <c r="HT13" s="75"/>
      <c r="HU13" s="75"/>
      <c r="HV13" s="75"/>
      <c r="HW13" s="75"/>
      <c r="HX13" s="75"/>
      <c r="HY13" s="75"/>
      <c r="HZ13" s="75"/>
      <c r="IA13" s="75"/>
      <c r="IB13" s="75"/>
      <c r="IC13" s="75"/>
      <c r="ID13" s="75"/>
      <c r="IE13" s="75"/>
      <c r="IF13" s="75"/>
      <c r="IG13" s="75"/>
      <c r="IH13" s="75"/>
      <c r="II13" s="75"/>
      <c r="IJ13" s="75"/>
      <c r="IK13" s="75"/>
      <c r="IL13" s="75"/>
      <c r="IM13" s="75"/>
      <c r="IN13" s="75"/>
      <c r="IO13" s="75"/>
      <c r="IP13" s="75"/>
      <c r="IQ13" s="75"/>
      <c r="IR13" s="75"/>
      <c r="IS13" s="75"/>
      <c r="IT13" s="75"/>
      <c r="IU13" s="75"/>
    </row>
    <row r="14" spans="1:255" ht="20.399999999999999" x14ac:dyDescent="0.2">
      <c r="A14" s="7" t="s">
        <v>16</v>
      </c>
      <c r="B14" s="13" t="s">
        <v>264</v>
      </c>
      <c r="C14" s="13" t="s">
        <v>265</v>
      </c>
      <c r="D14" s="13" t="s">
        <v>96</v>
      </c>
      <c r="E14" s="13" t="s">
        <v>266</v>
      </c>
      <c r="F14" s="13" t="s">
        <v>98</v>
      </c>
      <c r="G14" s="13" t="s">
        <v>99</v>
      </c>
    </row>
    <row r="15" spans="1:255" x14ac:dyDescent="0.2">
      <c r="A15" s="8" t="s">
        <v>25</v>
      </c>
      <c r="B15" s="14" t="s">
        <v>26</v>
      </c>
      <c r="C15" s="14" t="s">
        <v>26</v>
      </c>
      <c r="D15" s="14" t="s">
        <v>26</v>
      </c>
      <c r="E15" s="14" t="s">
        <v>26</v>
      </c>
      <c r="F15" s="14" t="s">
        <v>26</v>
      </c>
      <c r="G15" s="14" t="s">
        <v>26</v>
      </c>
    </row>
    <row r="16" spans="1:255" x14ac:dyDescent="0.2">
      <c r="A16" s="9" t="s">
        <v>696</v>
      </c>
      <c r="B16" s="11"/>
      <c r="C16" s="11"/>
      <c r="D16" s="11"/>
      <c r="E16" s="11"/>
      <c r="F16" s="11"/>
      <c r="G16" s="11"/>
    </row>
    <row r="17" spans="1:7" x14ac:dyDescent="0.2">
      <c r="A17" s="9" t="s">
        <v>697</v>
      </c>
      <c r="B17" s="11"/>
      <c r="C17" s="11"/>
      <c r="D17" s="11"/>
      <c r="E17" s="11"/>
      <c r="F17" s="11"/>
      <c r="G17" s="11"/>
    </row>
    <row r="18" spans="1:7" x14ac:dyDescent="0.2">
      <c r="A18" s="11" t="s">
        <v>698</v>
      </c>
      <c r="B18" s="19" t="s">
        <v>30</v>
      </c>
      <c r="C18" s="19" t="s">
        <v>30</v>
      </c>
      <c r="D18" s="19" t="s">
        <v>30</v>
      </c>
      <c r="E18" s="19" t="s">
        <v>30</v>
      </c>
      <c r="F18" s="19">
        <v>1.052</v>
      </c>
      <c r="G18" s="19">
        <v>0.98199999999999998</v>
      </c>
    </row>
    <row r="19" spans="1:7" x14ac:dyDescent="0.2">
      <c r="A19" s="11" t="s">
        <v>699</v>
      </c>
      <c r="B19" s="19" t="s">
        <v>30</v>
      </c>
      <c r="C19" s="19" t="s">
        <v>30</v>
      </c>
      <c r="D19" s="19" t="s">
        <v>30</v>
      </c>
      <c r="E19" s="19" t="s">
        <v>30</v>
      </c>
      <c r="F19" s="19">
        <v>-0.4</v>
      </c>
      <c r="G19" s="19">
        <v>-1.2</v>
      </c>
    </row>
    <row r="20" spans="1:7" x14ac:dyDescent="0.2">
      <c r="A20" s="9" t="s">
        <v>700</v>
      </c>
      <c r="B20" s="29" t="s">
        <v>30</v>
      </c>
      <c r="C20" s="29" t="s">
        <v>30</v>
      </c>
      <c r="D20" s="29" t="s">
        <v>30</v>
      </c>
      <c r="E20" s="29" t="s">
        <v>30</v>
      </c>
      <c r="F20" s="29">
        <v>0.60199999999999998</v>
      </c>
      <c r="G20" s="29">
        <v>-11.1</v>
      </c>
    </row>
    <row r="21" spans="1:7" x14ac:dyDescent="0.2">
      <c r="A21" s="11"/>
      <c r="B21" s="11"/>
      <c r="C21" s="11"/>
      <c r="D21" s="11"/>
      <c r="E21" s="11"/>
      <c r="F21" s="11"/>
      <c r="G21" s="11"/>
    </row>
    <row r="22" spans="1:7" x14ac:dyDescent="0.2">
      <c r="A22" s="11" t="s">
        <v>701</v>
      </c>
      <c r="B22" s="19">
        <v>2.2000000000000002</v>
      </c>
      <c r="C22" s="19">
        <v>2.2000000000000002</v>
      </c>
      <c r="D22" s="19">
        <v>2.2999999999999998</v>
      </c>
      <c r="E22" s="19">
        <v>2.4</v>
      </c>
      <c r="F22" s="19">
        <v>2.6</v>
      </c>
      <c r="G22" s="19">
        <v>2.7</v>
      </c>
    </row>
    <row r="23" spans="1:7" x14ac:dyDescent="0.2">
      <c r="A23" s="9" t="s">
        <v>702</v>
      </c>
      <c r="B23" s="29">
        <v>2.2000000000000002</v>
      </c>
      <c r="C23" s="29">
        <v>2.2000000000000002</v>
      </c>
      <c r="D23" s="29">
        <v>2.2999999999999998</v>
      </c>
      <c r="E23" s="29">
        <v>2.4</v>
      </c>
      <c r="F23" s="29">
        <v>3.202</v>
      </c>
      <c r="G23" s="29">
        <v>-8.4</v>
      </c>
    </row>
    <row r="24" spans="1:7" x14ac:dyDescent="0.2">
      <c r="A24" s="11"/>
      <c r="B24" s="11"/>
      <c r="C24" s="11"/>
      <c r="D24" s="11"/>
      <c r="E24" s="11"/>
      <c r="F24" s="11"/>
      <c r="G24" s="11"/>
    </row>
    <row r="25" spans="1:7" x14ac:dyDescent="0.2">
      <c r="A25" s="9" t="s">
        <v>703</v>
      </c>
      <c r="B25" s="11"/>
      <c r="C25" s="11"/>
      <c r="D25" s="11"/>
      <c r="E25" s="11"/>
      <c r="F25" s="11"/>
      <c r="G25" s="11"/>
    </row>
    <row r="26" spans="1:7" x14ac:dyDescent="0.2">
      <c r="A26" s="11" t="s">
        <v>704</v>
      </c>
      <c r="B26" s="19" t="s">
        <v>30</v>
      </c>
      <c r="C26" s="19" t="s">
        <v>30</v>
      </c>
      <c r="D26" s="19" t="s">
        <v>30</v>
      </c>
      <c r="E26" s="19" t="s">
        <v>30</v>
      </c>
      <c r="F26" s="19">
        <v>36.994999999999997</v>
      </c>
      <c r="G26" s="19">
        <v>26.164999999999999</v>
      </c>
    </row>
    <row r="27" spans="1:7" x14ac:dyDescent="0.2">
      <c r="A27" s="11" t="s">
        <v>705</v>
      </c>
      <c r="B27" s="19" t="s">
        <v>30</v>
      </c>
      <c r="C27" s="19" t="s">
        <v>30</v>
      </c>
      <c r="D27" s="19" t="s">
        <v>30</v>
      </c>
      <c r="E27" s="19">
        <v>0.76200000000000001</v>
      </c>
      <c r="F27" s="19">
        <v>1.052</v>
      </c>
      <c r="G27" s="19">
        <v>0.98199999999999998</v>
      </c>
    </row>
    <row r="28" spans="1:7" x14ac:dyDescent="0.2">
      <c r="A28" s="11" t="s">
        <v>706</v>
      </c>
      <c r="B28" s="19" t="s">
        <v>30</v>
      </c>
      <c r="C28" s="19" t="s">
        <v>30</v>
      </c>
      <c r="D28" s="19" t="s">
        <v>30</v>
      </c>
      <c r="E28" s="19">
        <v>-6.8</v>
      </c>
      <c r="F28" s="19">
        <v>-9.8000000000000007</v>
      </c>
      <c r="G28" s="19">
        <v>-0.2</v>
      </c>
    </row>
    <row r="29" spans="1:7" x14ac:dyDescent="0.2">
      <c r="A29" s="11" t="s">
        <v>707</v>
      </c>
      <c r="B29" s="19" t="s">
        <v>30</v>
      </c>
      <c r="C29" s="19" t="s">
        <v>30</v>
      </c>
      <c r="D29" s="19" t="s">
        <v>30</v>
      </c>
      <c r="E29" s="19">
        <v>-0.9</v>
      </c>
      <c r="F29" s="19">
        <v>-2.1</v>
      </c>
      <c r="G29" s="19">
        <v>-1.5</v>
      </c>
    </row>
    <row r="30" spans="1:7" x14ac:dyDescent="0.2">
      <c r="A30" s="11" t="s">
        <v>708</v>
      </c>
      <c r="B30" s="19" t="s">
        <v>30</v>
      </c>
      <c r="C30" s="19" t="s">
        <v>30</v>
      </c>
      <c r="D30" s="19" t="s">
        <v>30</v>
      </c>
      <c r="E30" s="19">
        <v>73.081000000000003</v>
      </c>
      <c r="F30" s="19" t="s">
        <v>30</v>
      </c>
      <c r="G30" s="19" t="s">
        <v>30</v>
      </c>
    </row>
    <row r="31" spans="1:7" x14ac:dyDescent="0.2">
      <c r="A31" s="11" t="s">
        <v>709</v>
      </c>
      <c r="B31" s="19" t="s">
        <v>30</v>
      </c>
      <c r="C31" s="19" t="s">
        <v>30</v>
      </c>
      <c r="D31" s="19" t="s">
        <v>30</v>
      </c>
      <c r="E31" s="19">
        <v>-29.1</v>
      </c>
      <c r="F31" s="19" t="s">
        <v>30</v>
      </c>
      <c r="G31" s="19">
        <v>-25.5</v>
      </c>
    </row>
    <row r="32" spans="1:7" x14ac:dyDescent="0.2">
      <c r="A32" s="11" t="s">
        <v>710</v>
      </c>
      <c r="B32" s="19" t="s">
        <v>30</v>
      </c>
      <c r="C32" s="19" t="s">
        <v>30</v>
      </c>
      <c r="D32" s="19" t="s">
        <v>30</v>
      </c>
      <c r="E32" s="19">
        <v>36.994999999999997</v>
      </c>
      <c r="F32" s="19">
        <v>26.164999999999999</v>
      </c>
      <c r="G32" s="19" t="s">
        <v>30</v>
      </c>
    </row>
    <row r="33" spans="1:7" x14ac:dyDescent="0.2">
      <c r="A33" s="11"/>
      <c r="B33" s="11"/>
      <c r="C33" s="11"/>
      <c r="D33" s="11"/>
      <c r="E33" s="11"/>
      <c r="F33" s="11"/>
      <c r="G33" s="11"/>
    </row>
    <row r="34" spans="1:7" x14ac:dyDescent="0.2">
      <c r="A34" s="11" t="s">
        <v>711</v>
      </c>
      <c r="B34" s="19" t="s">
        <v>30</v>
      </c>
      <c r="C34" s="19" t="s">
        <v>30</v>
      </c>
      <c r="D34" s="19" t="s">
        <v>30</v>
      </c>
      <c r="E34" s="19">
        <v>36.994999999999997</v>
      </c>
      <c r="F34" s="19">
        <v>26.164999999999999</v>
      </c>
      <c r="G34" s="19" t="s">
        <v>30</v>
      </c>
    </row>
    <row r="35" spans="1:7" x14ac:dyDescent="0.2">
      <c r="A35" s="11"/>
      <c r="B35" s="11"/>
      <c r="C35" s="11"/>
      <c r="D35" s="11"/>
      <c r="E35" s="11"/>
      <c r="F35" s="11"/>
      <c r="G35" s="11"/>
    </row>
    <row r="36" spans="1:7" x14ac:dyDescent="0.2">
      <c r="A36" s="9" t="s">
        <v>712</v>
      </c>
      <c r="B36" s="11"/>
      <c r="C36" s="11"/>
      <c r="D36" s="11"/>
      <c r="E36" s="11"/>
      <c r="F36" s="11"/>
      <c r="G36" s="11"/>
    </row>
    <row r="37" spans="1:7" x14ac:dyDescent="0.2">
      <c r="A37" s="11" t="s">
        <v>713</v>
      </c>
      <c r="B37" s="19" t="s">
        <v>30</v>
      </c>
      <c r="C37" s="19" t="s">
        <v>30</v>
      </c>
      <c r="D37" s="19" t="s">
        <v>30</v>
      </c>
      <c r="E37" s="19" t="s">
        <v>30</v>
      </c>
      <c r="F37" s="19">
        <v>43.652999999999999</v>
      </c>
      <c r="G37" s="19">
        <v>40.585999999999999</v>
      </c>
    </row>
    <row r="38" spans="1:7" x14ac:dyDescent="0.2">
      <c r="A38" s="11" t="s">
        <v>714</v>
      </c>
      <c r="B38" s="19" t="s">
        <v>30</v>
      </c>
      <c r="C38" s="19" t="s">
        <v>30</v>
      </c>
      <c r="D38" s="19" t="s">
        <v>30</v>
      </c>
      <c r="E38" s="19">
        <v>0.64200000000000002</v>
      </c>
      <c r="F38" s="19">
        <v>-1</v>
      </c>
      <c r="G38" s="19">
        <v>1.2989999999999999</v>
      </c>
    </row>
    <row r="39" spans="1:7" x14ac:dyDescent="0.2">
      <c r="A39" s="11" t="s">
        <v>715</v>
      </c>
      <c r="B39" s="19" t="s">
        <v>30</v>
      </c>
      <c r="C39" s="19" t="s">
        <v>30</v>
      </c>
      <c r="D39" s="19" t="s">
        <v>30</v>
      </c>
      <c r="E39" s="19">
        <v>-0.9</v>
      </c>
      <c r="F39" s="19">
        <v>-2.1</v>
      </c>
      <c r="G39" s="19">
        <v>-1.5</v>
      </c>
    </row>
    <row r="40" spans="1:7" x14ac:dyDescent="0.2">
      <c r="A40" s="11" t="s">
        <v>716</v>
      </c>
      <c r="B40" s="19" t="s">
        <v>30</v>
      </c>
      <c r="C40" s="19" t="s">
        <v>30</v>
      </c>
      <c r="D40" s="19" t="s">
        <v>30</v>
      </c>
      <c r="E40" s="19">
        <v>74.025000000000006</v>
      </c>
      <c r="F40" s="19" t="s">
        <v>30</v>
      </c>
      <c r="G40" s="19" t="s">
        <v>30</v>
      </c>
    </row>
    <row r="41" spans="1:7" x14ac:dyDescent="0.2">
      <c r="A41" s="11" t="s">
        <v>717</v>
      </c>
      <c r="B41" s="19" t="s">
        <v>30</v>
      </c>
      <c r="C41" s="19" t="s">
        <v>30</v>
      </c>
      <c r="D41" s="19" t="s">
        <v>30</v>
      </c>
      <c r="E41" s="19">
        <v>-30.1</v>
      </c>
      <c r="F41" s="19" t="s">
        <v>30</v>
      </c>
      <c r="G41" s="19">
        <v>-25.5</v>
      </c>
    </row>
    <row r="42" spans="1:7" x14ac:dyDescent="0.2">
      <c r="A42" s="9" t="s">
        <v>718</v>
      </c>
      <c r="B42" s="29" t="s">
        <v>30</v>
      </c>
      <c r="C42" s="29" t="s">
        <v>30</v>
      </c>
      <c r="D42" s="29" t="s">
        <v>30</v>
      </c>
      <c r="E42" s="29">
        <v>43.652999999999999</v>
      </c>
      <c r="F42" s="29">
        <v>40.585999999999999</v>
      </c>
      <c r="G42" s="29" t="s">
        <v>30</v>
      </c>
    </row>
    <row r="43" spans="1:7" x14ac:dyDescent="0.2">
      <c r="A43" s="11"/>
      <c r="B43" s="11"/>
      <c r="C43" s="11"/>
      <c r="D43" s="11"/>
      <c r="E43" s="11"/>
      <c r="F43" s="11"/>
      <c r="G43" s="11"/>
    </row>
    <row r="44" spans="1:7" x14ac:dyDescent="0.2">
      <c r="A44" s="9" t="s">
        <v>719</v>
      </c>
      <c r="B44" s="11"/>
      <c r="C44" s="11"/>
      <c r="D44" s="11"/>
      <c r="E44" s="11"/>
      <c r="F44" s="11"/>
      <c r="G44" s="11"/>
    </row>
    <row r="45" spans="1:7" x14ac:dyDescent="0.2">
      <c r="A45" s="11" t="s">
        <v>720</v>
      </c>
      <c r="B45" s="18" t="s">
        <v>30</v>
      </c>
      <c r="C45" s="18" t="s">
        <v>30</v>
      </c>
      <c r="D45" s="18" t="s">
        <v>30</v>
      </c>
      <c r="E45" s="32">
        <v>0.30099999999999999</v>
      </c>
      <c r="F45" s="18" t="s">
        <v>30</v>
      </c>
      <c r="G45" s="18" t="s">
        <v>30</v>
      </c>
    </row>
    <row r="46" spans="1:7" x14ac:dyDescent="0.2">
      <c r="A46" s="11" t="s">
        <v>721</v>
      </c>
      <c r="B46" s="18" t="s">
        <v>30</v>
      </c>
      <c r="C46" s="18" t="s">
        <v>30</v>
      </c>
      <c r="D46" s="18" t="s">
        <v>30</v>
      </c>
      <c r="E46" s="32">
        <v>0.69899999999999995</v>
      </c>
      <c r="F46" s="18" t="s">
        <v>30</v>
      </c>
      <c r="G46" s="18" t="s">
        <v>30</v>
      </c>
    </row>
    <row r="47" spans="1:7" x14ac:dyDescent="0.2">
      <c r="A47" s="11"/>
      <c r="B47" s="11"/>
      <c r="C47" s="11"/>
      <c r="D47" s="11"/>
      <c r="E47" s="11"/>
      <c r="F47" s="11"/>
      <c r="G47" s="11"/>
    </row>
    <row r="48" spans="1:7" x14ac:dyDescent="0.2">
      <c r="A48" s="9" t="s">
        <v>719</v>
      </c>
      <c r="B48" s="11"/>
      <c r="C48" s="11"/>
      <c r="D48" s="11"/>
      <c r="E48" s="11"/>
      <c r="F48" s="11"/>
      <c r="G48" s="11"/>
    </row>
    <row r="49" spans="1:7" x14ac:dyDescent="0.2">
      <c r="A49" s="11" t="s">
        <v>722</v>
      </c>
      <c r="B49" s="19" t="s">
        <v>30</v>
      </c>
      <c r="C49" s="19" t="s">
        <v>30</v>
      </c>
      <c r="D49" s="19" t="s">
        <v>30</v>
      </c>
      <c r="E49" s="19">
        <v>13.139552999999999</v>
      </c>
      <c r="F49" s="19" t="s">
        <v>30</v>
      </c>
      <c r="G49" s="19" t="s">
        <v>30</v>
      </c>
    </row>
    <row r="50" spans="1:7" x14ac:dyDescent="0.2">
      <c r="A50" s="11" t="s">
        <v>723</v>
      </c>
      <c r="B50" s="19" t="s">
        <v>30</v>
      </c>
      <c r="C50" s="19" t="s">
        <v>30</v>
      </c>
      <c r="D50" s="19" t="s">
        <v>30</v>
      </c>
      <c r="E50" s="19">
        <v>30.513446999999999</v>
      </c>
      <c r="F50" s="19" t="s">
        <v>30</v>
      </c>
      <c r="G50" s="19" t="s">
        <v>30</v>
      </c>
    </row>
    <row r="51" spans="1:7" x14ac:dyDescent="0.2">
      <c r="A51" s="11"/>
      <c r="B51" s="11"/>
      <c r="C51" s="11"/>
      <c r="D51" s="11"/>
      <c r="E51" s="11"/>
      <c r="F51" s="11"/>
      <c r="G51" s="11"/>
    </row>
    <row r="52" spans="1:7" x14ac:dyDescent="0.2">
      <c r="A52" s="9" t="s">
        <v>724</v>
      </c>
      <c r="B52" s="11"/>
      <c r="C52" s="11"/>
      <c r="D52" s="11"/>
      <c r="E52" s="11"/>
      <c r="F52" s="11"/>
      <c r="G52" s="11"/>
    </row>
    <row r="53" spans="1:7" x14ac:dyDescent="0.2">
      <c r="A53" s="11" t="s">
        <v>725</v>
      </c>
      <c r="B53" s="18" t="s">
        <v>30</v>
      </c>
      <c r="C53" s="18" t="s">
        <v>30</v>
      </c>
      <c r="D53" s="18" t="s">
        <v>30</v>
      </c>
      <c r="E53" s="18" t="s">
        <v>30</v>
      </c>
      <c r="F53" s="32">
        <v>4.8800000000000003E-2</v>
      </c>
      <c r="G53" s="18" t="s">
        <v>30</v>
      </c>
    </row>
    <row r="54" spans="1:7" x14ac:dyDescent="0.2">
      <c r="A54" s="11" t="s">
        <v>726</v>
      </c>
      <c r="B54" s="18" t="s">
        <v>30</v>
      </c>
      <c r="C54" s="18" t="s">
        <v>30</v>
      </c>
      <c r="D54" s="18" t="s">
        <v>30</v>
      </c>
      <c r="E54" s="18" t="s">
        <v>30</v>
      </c>
      <c r="F54" s="32">
        <v>4.8800000000000003E-2</v>
      </c>
      <c r="G54" s="18" t="s">
        <v>30</v>
      </c>
    </row>
    <row r="55" spans="1:7" x14ac:dyDescent="0.2">
      <c r="A55" s="11"/>
      <c r="B55" s="11"/>
      <c r="C55" s="11"/>
      <c r="D55" s="11"/>
      <c r="E55" s="11"/>
      <c r="F55" s="11"/>
      <c r="G55" s="11"/>
    </row>
    <row r="56" spans="1:7" x14ac:dyDescent="0.2">
      <c r="A56" s="9" t="s">
        <v>727</v>
      </c>
      <c r="B56" s="11"/>
      <c r="C56" s="11"/>
      <c r="D56" s="11"/>
      <c r="E56" s="11"/>
      <c r="F56" s="11"/>
      <c r="G56" s="11"/>
    </row>
    <row r="57" spans="1:7" x14ac:dyDescent="0.2">
      <c r="A57" s="11" t="s">
        <v>728</v>
      </c>
      <c r="B57" s="19" t="s">
        <v>30</v>
      </c>
      <c r="C57" s="19" t="s">
        <v>30</v>
      </c>
      <c r="D57" s="19" t="s">
        <v>30</v>
      </c>
      <c r="E57" s="19">
        <v>19.5</v>
      </c>
      <c r="F57" s="19">
        <v>6.4</v>
      </c>
      <c r="G57" s="19" t="s">
        <v>30</v>
      </c>
    </row>
    <row r="58" spans="1:7" x14ac:dyDescent="0.2">
      <c r="A58" s="11" t="s">
        <v>729</v>
      </c>
      <c r="B58" s="19" t="s">
        <v>30</v>
      </c>
      <c r="C58" s="19" t="s">
        <v>30</v>
      </c>
      <c r="D58" s="19" t="s">
        <v>30</v>
      </c>
      <c r="E58" s="19">
        <v>2.2999999999999998</v>
      </c>
      <c r="F58" s="19">
        <v>2</v>
      </c>
      <c r="G58" s="19" t="s">
        <v>30</v>
      </c>
    </row>
    <row r="59" spans="1:7" x14ac:dyDescent="0.2">
      <c r="A59" s="11" t="s">
        <v>730</v>
      </c>
      <c r="B59" s="19" t="s">
        <v>30</v>
      </c>
      <c r="C59" s="19" t="s">
        <v>30</v>
      </c>
      <c r="D59" s="19" t="s">
        <v>30</v>
      </c>
      <c r="E59" s="19">
        <v>2.2999999999999998</v>
      </c>
      <c r="F59" s="19">
        <v>1.9</v>
      </c>
      <c r="G59" s="19" t="s">
        <v>30</v>
      </c>
    </row>
    <row r="60" spans="1:7" x14ac:dyDescent="0.2">
      <c r="A60" s="11" t="s">
        <v>731</v>
      </c>
      <c r="B60" s="19" t="s">
        <v>30</v>
      </c>
      <c r="C60" s="19" t="s">
        <v>30</v>
      </c>
      <c r="D60" s="19" t="s">
        <v>30</v>
      </c>
      <c r="E60" s="19">
        <v>2.2999999999999998</v>
      </c>
      <c r="F60" s="19">
        <v>1.9</v>
      </c>
      <c r="G60" s="19" t="s">
        <v>30</v>
      </c>
    </row>
    <row r="61" spans="1:7" x14ac:dyDescent="0.2">
      <c r="A61" s="11" t="s">
        <v>732</v>
      </c>
      <c r="B61" s="19" t="s">
        <v>30</v>
      </c>
      <c r="C61" s="19" t="s">
        <v>30</v>
      </c>
      <c r="D61" s="19" t="s">
        <v>30</v>
      </c>
      <c r="E61" s="19">
        <v>2.2000000000000002</v>
      </c>
      <c r="F61" s="19">
        <v>1.8</v>
      </c>
      <c r="G61" s="19" t="s">
        <v>30</v>
      </c>
    </row>
    <row r="62" spans="1:7" x14ac:dyDescent="0.2">
      <c r="A62" s="11" t="s">
        <v>733</v>
      </c>
      <c r="B62" s="19" t="s">
        <v>30</v>
      </c>
      <c r="C62" s="19" t="s">
        <v>30</v>
      </c>
      <c r="D62" s="19" t="s">
        <v>30</v>
      </c>
      <c r="E62" s="19">
        <v>10.4</v>
      </c>
      <c r="F62" s="19">
        <v>8.1999999999999993</v>
      </c>
      <c r="G62" s="19" t="s">
        <v>30</v>
      </c>
    </row>
    <row r="63" spans="1:7" x14ac:dyDescent="0.2">
      <c r="A63" s="11"/>
      <c r="B63" s="11"/>
      <c r="C63" s="11"/>
      <c r="D63" s="11"/>
      <c r="E63" s="11"/>
      <c r="F63" s="11"/>
      <c r="G63" s="11"/>
    </row>
    <row r="64" spans="1:7" x14ac:dyDescent="0.2">
      <c r="A64" s="9" t="s">
        <v>734</v>
      </c>
      <c r="B64" s="11"/>
      <c r="C64" s="11"/>
      <c r="D64" s="11"/>
      <c r="E64" s="11"/>
      <c r="F64" s="11"/>
      <c r="G64" s="11"/>
    </row>
    <row r="65" spans="1:7" x14ac:dyDescent="0.2">
      <c r="A65" s="11" t="s">
        <v>735</v>
      </c>
      <c r="B65" s="19" t="s">
        <v>30</v>
      </c>
      <c r="C65" s="19" t="s">
        <v>30</v>
      </c>
      <c r="D65" s="19" t="s">
        <v>30</v>
      </c>
      <c r="E65" s="19">
        <v>6.6580000000000004</v>
      </c>
      <c r="F65" s="19">
        <v>14.420999999999999</v>
      </c>
      <c r="G65" s="19" t="s">
        <v>30</v>
      </c>
    </row>
    <row r="66" spans="1:7" x14ac:dyDescent="0.2">
      <c r="A66" s="11"/>
      <c r="B66" s="11"/>
      <c r="C66" s="11"/>
      <c r="D66" s="11"/>
      <c r="E66" s="11"/>
      <c r="F66" s="11"/>
      <c r="G66" s="11"/>
    </row>
    <row r="67" spans="1:7" x14ac:dyDescent="0.2">
      <c r="A67" s="9" t="s">
        <v>736</v>
      </c>
      <c r="B67" s="11"/>
      <c r="C67" s="11"/>
      <c r="D67" s="11"/>
      <c r="E67" s="11"/>
      <c r="F67" s="11"/>
      <c r="G67" s="11"/>
    </row>
    <row r="68" spans="1:7" x14ac:dyDescent="0.2">
      <c r="A68" s="11" t="s">
        <v>737</v>
      </c>
      <c r="B68" s="19" t="s">
        <v>30</v>
      </c>
      <c r="C68" s="19" t="s">
        <v>30</v>
      </c>
      <c r="D68" s="19" t="s">
        <v>30</v>
      </c>
      <c r="E68" s="19">
        <v>-2.2000000000000002</v>
      </c>
      <c r="F68" s="19">
        <v>-10.6</v>
      </c>
      <c r="G68" s="19">
        <v>-0.3</v>
      </c>
    </row>
    <row r="69" spans="1:7" x14ac:dyDescent="0.2">
      <c r="A69" s="9" t="s">
        <v>738</v>
      </c>
      <c r="B69" s="29" t="s">
        <v>30</v>
      </c>
      <c r="C69" s="29" t="s">
        <v>30</v>
      </c>
      <c r="D69" s="29" t="s">
        <v>30</v>
      </c>
      <c r="E69" s="29">
        <v>-2.2000000000000002</v>
      </c>
      <c r="F69" s="29">
        <v>-10.6</v>
      </c>
      <c r="G69" s="29">
        <v>-0.3</v>
      </c>
    </row>
    <row r="70" spans="1:7" x14ac:dyDescent="0.2">
      <c r="A70" s="11"/>
      <c r="B70" s="11"/>
      <c r="C70" s="11"/>
      <c r="D70" s="11"/>
      <c r="E70" s="11"/>
      <c r="F70" s="11"/>
      <c r="G70" s="11"/>
    </row>
    <row r="71" spans="1:7" x14ac:dyDescent="0.2">
      <c r="A71" s="9" t="s">
        <v>739</v>
      </c>
      <c r="B71" s="11"/>
      <c r="C71" s="11"/>
      <c r="D71" s="11"/>
      <c r="E71" s="11"/>
      <c r="F71" s="11"/>
      <c r="G71" s="11"/>
    </row>
    <row r="72" spans="1:7" x14ac:dyDescent="0.2">
      <c r="A72" s="11" t="s">
        <v>740</v>
      </c>
      <c r="B72" s="19" t="s">
        <v>30</v>
      </c>
      <c r="C72" s="19" t="s">
        <v>30</v>
      </c>
      <c r="D72" s="19" t="s">
        <v>30</v>
      </c>
      <c r="E72" s="19">
        <v>6.6580000000000004</v>
      </c>
      <c r="F72" s="19">
        <v>14.420999999999999</v>
      </c>
      <c r="G72" s="19" t="s">
        <v>30</v>
      </c>
    </row>
    <row r="73" spans="1:7" x14ac:dyDescent="0.2">
      <c r="A73" s="11"/>
      <c r="B73" s="11"/>
      <c r="C73" s="11"/>
      <c r="D73" s="11"/>
      <c r="E73" s="11"/>
      <c r="F73" s="11"/>
      <c r="G73" s="11"/>
    </row>
    <row r="74" spans="1:7" x14ac:dyDescent="0.2">
      <c r="A74" s="9" t="s">
        <v>741</v>
      </c>
      <c r="B74" s="11"/>
      <c r="C74" s="11"/>
      <c r="D74" s="11"/>
      <c r="E74" s="11"/>
      <c r="F74" s="11"/>
      <c r="G74" s="11"/>
    </row>
    <row r="75" spans="1:7" x14ac:dyDescent="0.2">
      <c r="A75" s="9" t="s">
        <v>697</v>
      </c>
      <c r="B75" s="11"/>
      <c r="C75" s="11"/>
      <c r="D75" s="11"/>
      <c r="E75" s="11"/>
      <c r="F75" s="11"/>
      <c r="G75" s="11"/>
    </row>
    <row r="76" spans="1:7" x14ac:dyDescent="0.2">
      <c r="A76" s="11" t="s">
        <v>742</v>
      </c>
      <c r="B76" s="19" t="s">
        <v>30</v>
      </c>
      <c r="C76" s="19" t="s">
        <v>30</v>
      </c>
      <c r="D76" s="19" t="s">
        <v>30</v>
      </c>
      <c r="E76" s="19" t="s">
        <v>30</v>
      </c>
      <c r="F76" s="19">
        <v>1.052</v>
      </c>
      <c r="G76" s="19">
        <v>0.98199999999999998</v>
      </c>
    </row>
    <row r="77" spans="1:7" x14ac:dyDescent="0.2">
      <c r="A77" s="11" t="s">
        <v>743</v>
      </c>
      <c r="B77" s="19" t="s">
        <v>30</v>
      </c>
      <c r="C77" s="19" t="s">
        <v>30</v>
      </c>
      <c r="D77" s="19" t="s">
        <v>30</v>
      </c>
      <c r="E77" s="19" t="s">
        <v>30</v>
      </c>
      <c r="F77" s="19">
        <v>-0.4</v>
      </c>
      <c r="G77" s="19">
        <v>-1.2</v>
      </c>
    </row>
    <row r="78" spans="1:7" x14ac:dyDescent="0.2">
      <c r="A78" s="11" t="s">
        <v>744</v>
      </c>
      <c r="B78" s="19" t="s">
        <v>30</v>
      </c>
      <c r="C78" s="19" t="s">
        <v>30</v>
      </c>
      <c r="D78" s="19" t="s">
        <v>30</v>
      </c>
      <c r="E78" s="19" t="s">
        <v>30</v>
      </c>
      <c r="F78" s="19">
        <v>0</v>
      </c>
      <c r="G78" s="19">
        <v>-10.8</v>
      </c>
    </row>
    <row r="79" spans="1:7" x14ac:dyDescent="0.2">
      <c r="A79" s="9" t="s">
        <v>745</v>
      </c>
      <c r="B79" s="29" t="s">
        <v>30</v>
      </c>
      <c r="C79" s="29" t="s">
        <v>30</v>
      </c>
      <c r="D79" s="29" t="s">
        <v>30</v>
      </c>
      <c r="E79" s="29" t="s">
        <v>30</v>
      </c>
      <c r="F79" s="29">
        <v>0.60199999999999998</v>
      </c>
      <c r="G79" s="29">
        <v>-11.1</v>
      </c>
    </row>
    <row r="80" spans="1:7" x14ac:dyDescent="0.2">
      <c r="A80" s="11"/>
      <c r="B80" s="11"/>
      <c r="C80" s="11"/>
      <c r="D80" s="11"/>
      <c r="E80" s="11"/>
      <c r="F80" s="11"/>
      <c r="G80" s="11"/>
    </row>
    <row r="81" spans="1:7" x14ac:dyDescent="0.2">
      <c r="A81" s="9" t="s">
        <v>703</v>
      </c>
      <c r="B81" s="11"/>
      <c r="C81" s="11"/>
      <c r="D81" s="11"/>
      <c r="E81" s="11"/>
      <c r="F81" s="11"/>
      <c r="G81" s="11"/>
    </row>
    <row r="82" spans="1:7" x14ac:dyDescent="0.2">
      <c r="A82" s="11" t="s">
        <v>746</v>
      </c>
      <c r="B82" s="19" t="s">
        <v>30</v>
      </c>
      <c r="C82" s="19" t="s">
        <v>30</v>
      </c>
      <c r="D82" s="19" t="s">
        <v>30</v>
      </c>
      <c r="E82" s="19" t="s">
        <v>30</v>
      </c>
      <c r="F82" s="19">
        <v>36.994999999999997</v>
      </c>
      <c r="G82" s="19">
        <v>26.164999999999999</v>
      </c>
    </row>
    <row r="83" spans="1:7" x14ac:dyDescent="0.2">
      <c r="A83" s="11" t="s">
        <v>742</v>
      </c>
      <c r="B83" s="19" t="s">
        <v>30</v>
      </c>
      <c r="C83" s="19" t="s">
        <v>30</v>
      </c>
      <c r="D83" s="19" t="s">
        <v>30</v>
      </c>
      <c r="E83" s="19">
        <v>0.76200000000000001</v>
      </c>
      <c r="F83" s="19">
        <v>1.052</v>
      </c>
      <c r="G83" s="19">
        <v>0.98199999999999998</v>
      </c>
    </row>
    <row r="84" spans="1:7" x14ac:dyDescent="0.2">
      <c r="A84" s="11" t="s">
        <v>747</v>
      </c>
      <c r="B84" s="19" t="s">
        <v>30</v>
      </c>
      <c r="C84" s="19" t="s">
        <v>30</v>
      </c>
      <c r="D84" s="19" t="s">
        <v>30</v>
      </c>
      <c r="E84" s="19">
        <v>-6.8</v>
      </c>
      <c r="F84" s="19">
        <v>-9.8000000000000007</v>
      </c>
      <c r="G84" s="19">
        <v>-0.2</v>
      </c>
    </row>
    <row r="85" spans="1:7" x14ac:dyDescent="0.2">
      <c r="A85" s="11" t="s">
        <v>707</v>
      </c>
      <c r="B85" s="19" t="s">
        <v>30</v>
      </c>
      <c r="C85" s="19" t="s">
        <v>30</v>
      </c>
      <c r="D85" s="19" t="s">
        <v>30</v>
      </c>
      <c r="E85" s="19">
        <v>-0.9</v>
      </c>
      <c r="F85" s="19">
        <v>-2.1</v>
      </c>
      <c r="G85" s="19">
        <v>-1.5</v>
      </c>
    </row>
    <row r="86" spans="1:7" x14ac:dyDescent="0.2">
      <c r="A86" s="11" t="s">
        <v>748</v>
      </c>
      <c r="B86" s="19" t="s">
        <v>30</v>
      </c>
      <c r="C86" s="19" t="s">
        <v>30</v>
      </c>
      <c r="D86" s="19" t="s">
        <v>30</v>
      </c>
      <c r="E86" s="19">
        <v>73.081000000000003</v>
      </c>
      <c r="F86" s="19" t="s">
        <v>30</v>
      </c>
      <c r="G86" s="19" t="s">
        <v>30</v>
      </c>
    </row>
    <row r="87" spans="1:7" x14ac:dyDescent="0.2">
      <c r="A87" s="11" t="s">
        <v>749</v>
      </c>
      <c r="B87" s="19" t="s">
        <v>30</v>
      </c>
      <c r="C87" s="19" t="s">
        <v>30</v>
      </c>
      <c r="D87" s="19" t="s">
        <v>30</v>
      </c>
      <c r="E87" s="19">
        <v>-29.1</v>
      </c>
      <c r="F87" s="19" t="s">
        <v>30</v>
      </c>
      <c r="G87" s="19">
        <v>-25.5</v>
      </c>
    </row>
    <row r="88" spans="1:7" x14ac:dyDescent="0.2">
      <c r="A88" s="11" t="s">
        <v>750</v>
      </c>
      <c r="B88" s="19" t="s">
        <v>30</v>
      </c>
      <c r="C88" s="19" t="s">
        <v>30</v>
      </c>
      <c r="D88" s="19" t="s">
        <v>30</v>
      </c>
      <c r="E88" s="19">
        <v>36.994999999999997</v>
      </c>
      <c r="F88" s="19">
        <v>26.164999999999999</v>
      </c>
      <c r="G88" s="19" t="s">
        <v>30</v>
      </c>
    </row>
    <row r="89" spans="1:7" x14ac:dyDescent="0.2">
      <c r="A89" s="11"/>
      <c r="B89" s="11"/>
      <c r="C89" s="11"/>
      <c r="D89" s="11"/>
      <c r="E89" s="11"/>
      <c r="F89" s="11"/>
      <c r="G89" s="11"/>
    </row>
    <row r="90" spans="1:7" x14ac:dyDescent="0.2">
      <c r="A90" s="11" t="s">
        <v>711</v>
      </c>
      <c r="B90" s="19" t="s">
        <v>30</v>
      </c>
      <c r="C90" s="19" t="s">
        <v>30</v>
      </c>
      <c r="D90" s="19" t="s">
        <v>30</v>
      </c>
      <c r="E90" s="19">
        <v>36.994999999999997</v>
      </c>
      <c r="F90" s="19">
        <v>26.164999999999999</v>
      </c>
      <c r="G90" s="19" t="s">
        <v>30</v>
      </c>
    </row>
    <row r="91" spans="1:7" x14ac:dyDescent="0.2">
      <c r="A91" s="11"/>
      <c r="B91" s="11"/>
      <c r="C91" s="11"/>
      <c r="D91" s="11"/>
      <c r="E91" s="11"/>
      <c r="F91" s="11"/>
      <c r="G91" s="11"/>
    </row>
    <row r="92" spans="1:7" x14ac:dyDescent="0.2">
      <c r="A92" s="9" t="s">
        <v>712</v>
      </c>
      <c r="B92" s="11"/>
      <c r="C92" s="11"/>
      <c r="D92" s="11"/>
      <c r="E92" s="11"/>
      <c r="F92" s="11"/>
      <c r="G92" s="11"/>
    </row>
    <row r="93" spans="1:7" x14ac:dyDescent="0.2">
      <c r="A93" s="11" t="s">
        <v>751</v>
      </c>
      <c r="B93" s="19" t="s">
        <v>30</v>
      </c>
      <c r="C93" s="19" t="s">
        <v>30</v>
      </c>
      <c r="D93" s="19" t="s">
        <v>30</v>
      </c>
      <c r="E93" s="19" t="s">
        <v>30</v>
      </c>
      <c r="F93" s="19">
        <v>43.652999999999999</v>
      </c>
      <c r="G93" s="19">
        <v>40.585999999999999</v>
      </c>
    </row>
    <row r="94" spans="1:7" x14ac:dyDescent="0.2">
      <c r="A94" s="11" t="s">
        <v>752</v>
      </c>
      <c r="B94" s="19" t="s">
        <v>30</v>
      </c>
      <c r="C94" s="19" t="s">
        <v>30</v>
      </c>
      <c r="D94" s="19" t="s">
        <v>30</v>
      </c>
      <c r="E94" s="19">
        <v>0.64200000000000002</v>
      </c>
      <c r="F94" s="19">
        <v>-1</v>
      </c>
      <c r="G94" s="19">
        <v>1.2989999999999999</v>
      </c>
    </row>
    <row r="95" spans="1:7" x14ac:dyDescent="0.2">
      <c r="A95" s="11" t="s">
        <v>753</v>
      </c>
      <c r="B95" s="19" t="s">
        <v>30</v>
      </c>
      <c r="C95" s="19" t="s">
        <v>30</v>
      </c>
      <c r="D95" s="19" t="s">
        <v>30</v>
      </c>
      <c r="E95" s="19">
        <v>-0.9</v>
      </c>
      <c r="F95" s="19">
        <v>-2.1</v>
      </c>
      <c r="G95" s="19">
        <v>-1.5</v>
      </c>
    </row>
    <row r="96" spans="1:7" x14ac:dyDescent="0.2">
      <c r="A96" s="11" t="s">
        <v>754</v>
      </c>
      <c r="B96" s="19" t="s">
        <v>30</v>
      </c>
      <c r="C96" s="19" t="s">
        <v>30</v>
      </c>
      <c r="D96" s="19" t="s">
        <v>30</v>
      </c>
      <c r="E96" s="19">
        <v>74.025000000000006</v>
      </c>
      <c r="F96" s="19" t="s">
        <v>30</v>
      </c>
      <c r="G96" s="19" t="s">
        <v>30</v>
      </c>
    </row>
    <row r="97" spans="1:7" x14ac:dyDescent="0.2">
      <c r="A97" s="11" t="s">
        <v>755</v>
      </c>
      <c r="B97" s="19" t="s">
        <v>30</v>
      </c>
      <c r="C97" s="19" t="s">
        <v>30</v>
      </c>
      <c r="D97" s="19" t="s">
        <v>30</v>
      </c>
      <c r="E97" s="19">
        <v>-30.1</v>
      </c>
      <c r="F97" s="19" t="s">
        <v>30</v>
      </c>
      <c r="G97" s="19">
        <v>-25.5</v>
      </c>
    </row>
    <row r="98" spans="1:7" x14ac:dyDescent="0.2">
      <c r="A98" s="9" t="s">
        <v>756</v>
      </c>
      <c r="B98" s="29" t="s">
        <v>30</v>
      </c>
      <c r="C98" s="29" t="s">
        <v>30</v>
      </c>
      <c r="D98" s="29" t="s">
        <v>30</v>
      </c>
      <c r="E98" s="29">
        <v>43.652999999999999</v>
      </c>
      <c r="F98" s="29">
        <v>40.585999999999999</v>
      </c>
      <c r="G98" s="29" t="s">
        <v>30</v>
      </c>
    </row>
    <row r="99" spans="1:7" x14ac:dyDescent="0.2">
      <c r="A99" s="11"/>
      <c r="B99" s="11"/>
      <c r="C99" s="11"/>
      <c r="D99" s="11"/>
      <c r="E99" s="11"/>
      <c r="F99" s="11"/>
      <c r="G99" s="11"/>
    </row>
    <row r="100" spans="1:7" x14ac:dyDescent="0.2">
      <c r="A100" s="9" t="s">
        <v>719</v>
      </c>
      <c r="B100" s="11"/>
      <c r="C100" s="11"/>
      <c r="D100" s="11"/>
      <c r="E100" s="11"/>
      <c r="F100" s="11"/>
      <c r="G100" s="11"/>
    </row>
    <row r="101" spans="1:7" x14ac:dyDescent="0.2">
      <c r="A101" s="11" t="s">
        <v>720</v>
      </c>
      <c r="B101" s="18" t="s">
        <v>30</v>
      </c>
      <c r="C101" s="18" t="s">
        <v>30</v>
      </c>
      <c r="D101" s="18" t="s">
        <v>30</v>
      </c>
      <c r="E101" s="32">
        <v>0.30099999999999999</v>
      </c>
      <c r="F101" s="18" t="s">
        <v>30</v>
      </c>
      <c r="G101" s="18" t="s">
        <v>30</v>
      </c>
    </row>
    <row r="102" spans="1:7" x14ac:dyDescent="0.2">
      <c r="A102" s="11" t="s">
        <v>721</v>
      </c>
      <c r="B102" s="18" t="s">
        <v>30</v>
      </c>
      <c r="C102" s="18" t="s">
        <v>30</v>
      </c>
      <c r="D102" s="18" t="s">
        <v>30</v>
      </c>
      <c r="E102" s="32">
        <v>0.69899999999999995</v>
      </c>
      <c r="F102" s="18" t="s">
        <v>30</v>
      </c>
      <c r="G102" s="18" t="s">
        <v>30</v>
      </c>
    </row>
    <row r="103" spans="1:7" x14ac:dyDescent="0.2">
      <c r="A103" s="11"/>
      <c r="B103" s="11"/>
      <c r="C103" s="11"/>
      <c r="D103" s="11"/>
      <c r="E103" s="11"/>
      <c r="F103" s="11"/>
      <c r="G103" s="11"/>
    </row>
    <row r="104" spans="1:7" x14ac:dyDescent="0.2">
      <c r="A104" s="9" t="s">
        <v>719</v>
      </c>
      <c r="B104" s="11"/>
      <c r="C104" s="11"/>
      <c r="D104" s="11"/>
      <c r="E104" s="11"/>
      <c r="F104" s="11"/>
      <c r="G104" s="11"/>
    </row>
    <row r="105" spans="1:7" x14ac:dyDescent="0.2">
      <c r="A105" s="11" t="s">
        <v>757</v>
      </c>
      <c r="B105" s="19" t="s">
        <v>30</v>
      </c>
      <c r="C105" s="19" t="s">
        <v>30</v>
      </c>
      <c r="D105" s="19" t="s">
        <v>30</v>
      </c>
      <c r="E105" s="19">
        <v>13.139552999999999</v>
      </c>
      <c r="F105" s="19" t="s">
        <v>30</v>
      </c>
      <c r="G105" s="19" t="s">
        <v>30</v>
      </c>
    </row>
    <row r="106" spans="1:7" x14ac:dyDescent="0.2">
      <c r="A106" s="11" t="s">
        <v>758</v>
      </c>
      <c r="B106" s="19" t="s">
        <v>30</v>
      </c>
      <c r="C106" s="19" t="s">
        <v>30</v>
      </c>
      <c r="D106" s="19" t="s">
        <v>30</v>
      </c>
      <c r="E106" s="19">
        <v>30.513446999999999</v>
      </c>
      <c r="F106" s="19" t="s">
        <v>30</v>
      </c>
      <c r="G106" s="19" t="s">
        <v>30</v>
      </c>
    </row>
    <row r="107" spans="1:7" x14ac:dyDescent="0.2">
      <c r="A107" s="11"/>
      <c r="B107" s="11"/>
      <c r="C107" s="11"/>
      <c r="D107" s="11"/>
      <c r="E107" s="11"/>
      <c r="F107" s="11"/>
      <c r="G107" s="11"/>
    </row>
    <row r="108" spans="1:7" x14ac:dyDescent="0.2">
      <c r="A108" s="9" t="s">
        <v>724</v>
      </c>
      <c r="B108" s="11"/>
      <c r="C108" s="11"/>
      <c r="D108" s="11"/>
      <c r="E108" s="11"/>
      <c r="F108" s="11"/>
      <c r="G108" s="11"/>
    </row>
    <row r="109" spans="1:7" x14ac:dyDescent="0.2">
      <c r="A109" s="11" t="s">
        <v>759</v>
      </c>
      <c r="B109" s="18" t="s">
        <v>30</v>
      </c>
      <c r="C109" s="18" t="s">
        <v>30</v>
      </c>
      <c r="D109" s="18" t="s">
        <v>30</v>
      </c>
      <c r="E109" s="18" t="s">
        <v>30</v>
      </c>
      <c r="F109" s="32">
        <v>4.8800000000000003E-2</v>
      </c>
      <c r="G109" s="18" t="s">
        <v>30</v>
      </c>
    </row>
    <row r="110" spans="1:7" x14ac:dyDescent="0.2">
      <c r="A110" s="11" t="s">
        <v>760</v>
      </c>
      <c r="B110" s="18" t="s">
        <v>30</v>
      </c>
      <c r="C110" s="18" t="s">
        <v>30</v>
      </c>
      <c r="D110" s="18" t="s">
        <v>30</v>
      </c>
      <c r="E110" s="18" t="s">
        <v>30</v>
      </c>
      <c r="F110" s="32">
        <v>4.8800000000000003E-2</v>
      </c>
      <c r="G110" s="18" t="s">
        <v>30</v>
      </c>
    </row>
    <row r="111" spans="1:7" x14ac:dyDescent="0.2">
      <c r="A111" s="11"/>
      <c r="B111" s="11"/>
      <c r="C111" s="11"/>
      <c r="D111" s="11"/>
      <c r="E111" s="11"/>
      <c r="F111" s="11"/>
      <c r="G111" s="11"/>
    </row>
    <row r="112" spans="1:7" x14ac:dyDescent="0.2">
      <c r="A112" s="9" t="s">
        <v>727</v>
      </c>
      <c r="B112" s="11"/>
      <c r="C112" s="11"/>
      <c r="D112" s="11"/>
      <c r="E112" s="11"/>
      <c r="F112" s="11"/>
      <c r="G112" s="11"/>
    </row>
    <row r="113" spans="1:7" x14ac:dyDescent="0.2">
      <c r="A113" s="11" t="s">
        <v>761</v>
      </c>
      <c r="B113" s="19" t="s">
        <v>30</v>
      </c>
      <c r="C113" s="19" t="s">
        <v>30</v>
      </c>
      <c r="D113" s="19" t="s">
        <v>30</v>
      </c>
      <c r="E113" s="19">
        <v>19.5</v>
      </c>
      <c r="F113" s="19">
        <v>6.4</v>
      </c>
      <c r="G113" s="19" t="s">
        <v>30</v>
      </c>
    </row>
    <row r="114" spans="1:7" x14ac:dyDescent="0.2">
      <c r="A114" s="11" t="s">
        <v>762</v>
      </c>
      <c r="B114" s="19" t="s">
        <v>30</v>
      </c>
      <c r="C114" s="19" t="s">
        <v>30</v>
      </c>
      <c r="D114" s="19" t="s">
        <v>30</v>
      </c>
      <c r="E114" s="19">
        <v>2.2999999999999998</v>
      </c>
      <c r="F114" s="19">
        <v>2</v>
      </c>
      <c r="G114" s="19" t="s">
        <v>30</v>
      </c>
    </row>
    <row r="115" spans="1:7" x14ac:dyDescent="0.2">
      <c r="A115" s="11" t="s">
        <v>763</v>
      </c>
      <c r="B115" s="19" t="s">
        <v>30</v>
      </c>
      <c r="C115" s="19" t="s">
        <v>30</v>
      </c>
      <c r="D115" s="19" t="s">
        <v>30</v>
      </c>
      <c r="E115" s="19">
        <v>2.2999999999999998</v>
      </c>
      <c r="F115" s="19">
        <v>1.9</v>
      </c>
      <c r="G115" s="19" t="s">
        <v>30</v>
      </c>
    </row>
    <row r="116" spans="1:7" x14ac:dyDescent="0.2">
      <c r="A116" s="11" t="s">
        <v>764</v>
      </c>
      <c r="B116" s="19" t="s">
        <v>30</v>
      </c>
      <c r="C116" s="19" t="s">
        <v>30</v>
      </c>
      <c r="D116" s="19" t="s">
        <v>30</v>
      </c>
      <c r="E116" s="19">
        <v>2.2999999999999998</v>
      </c>
      <c r="F116" s="19">
        <v>1.9</v>
      </c>
      <c r="G116" s="19" t="s">
        <v>30</v>
      </c>
    </row>
    <row r="117" spans="1:7" x14ac:dyDescent="0.2">
      <c r="A117" s="11" t="s">
        <v>765</v>
      </c>
      <c r="B117" s="19" t="s">
        <v>30</v>
      </c>
      <c r="C117" s="19" t="s">
        <v>30</v>
      </c>
      <c r="D117" s="19" t="s">
        <v>30</v>
      </c>
      <c r="E117" s="19">
        <v>2.2000000000000002</v>
      </c>
      <c r="F117" s="19">
        <v>1.8</v>
      </c>
      <c r="G117" s="19" t="s">
        <v>30</v>
      </c>
    </row>
    <row r="118" spans="1:7" x14ac:dyDescent="0.2">
      <c r="A118" s="11" t="s">
        <v>766</v>
      </c>
      <c r="B118" s="19" t="s">
        <v>30</v>
      </c>
      <c r="C118" s="19" t="s">
        <v>30</v>
      </c>
      <c r="D118" s="19" t="s">
        <v>30</v>
      </c>
      <c r="E118" s="19">
        <v>10.4</v>
      </c>
      <c r="F118" s="19">
        <v>8.1999999999999993</v>
      </c>
      <c r="G118" s="19" t="s">
        <v>30</v>
      </c>
    </row>
    <row r="119" spans="1:7" x14ac:dyDescent="0.2">
      <c r="A119" s="11"/>
      <c r="B119" s="11"/>
      <c r="C119" s="11"/>
      <c r="D119" s="11"/>
      <c r="E119" s="11"/>
      <c r="F119" s="11"/>
      <c r="G119" s="11"/>
    </row>
    <row r="120" spans="1:7" x14ac:dyDescent="0.2">
      <c r="A120" s="9" t="s">
        <v>734</v>
      </c>
      <c r="B120" s="11"/>
      <c r="C120" s="11"/>
      <c r="D120" s="11"/>
      <c r="E120" s="11"/>
      <c r="F120" s="11"/>
      <c r="G120" s="11"/>
    </row>
    <row r="121" spans="1:7" x14ac:dyDescent="0.2">
      <c r="A121" s="11" t="s">
        <v>767</v>
      </c>
      <c r="B121" s="19" t="s">
        <v>30</v>
      </c>
      <c r="C121" s="19" t="s">
        <v>30</v>
      </c>
      <c r="D121" s="19" t="s">
        <v>30</v>
      </c>
      <c r="E121" s="19">
        <v>6.6580000000000004</v>
      </c>
      <c r="F121" s="19">
        <v>14.420999999999999</v>
      </c>
      <c r="G121" s="19" t="s">
        <v>30</v>
      </c>
    </row>
    <row r="122" spans="1:7" x14ac:dyDescent="0.2">
      <c r="A122" s="11"/>
      <c r="B122" s="11"/>
      <c r="C122" s="11"/>
      <c r="D122" s="11"/>
      <c r="E122" s="11"/>
      <c r="F122" s="11"/>
      <c r="G122" s="11"/>
    </row>
    <row r="123" spans="1:7" x14ac:dyDescent="0.2">
      <c r="A123" s="9" t="s">
        <v>736</v>
      </c>
      <c r="B123" s="11"/>
      <c r="C123" s="11"/>
      <c r="D123" s="11"/>
      <c r="E123" s="11"/>
      <c r="F123" s="11"/>
      <c r="G123" s="11"/>
    </row>
    <row r="124" spans="1:7" x14ac:dyDescent="0.2">
      <c r="A124" s="11" t="s">
        <v>737</v>
      </c>
      <c r="B124" s="19" t="s">
        <v>30</v>
      </c>
      <c r="C124" s="19" t="s">
        <v>30</v>
      </c>
      <c r="D124" s="19" t="s">
        <v>30</v>
      </c>
      <c r="E124" s="19">
        <v>-2.2000000000000002</v>
      </c>
      <c r="F124" s="19">
        <v>-10.6</v>
      </c>
      <c r="G124" s="19">
        <v>-0.3</v>
      </c>
    </row>
    <row r="125" spans="1:7" x14ac:dyDescent="0.2">
      <c r="A125" s="9" t="s">
        <v>738</v>
      </c>
      <c r="B125" s="29" t="s">
        <v>30</v>
      </c>
      <c r="C125" s="29" t="s">
        <v>30</v>
      </c>
      <c r="D125" s="29" t="s">
        <v>30</v>
      </c>
      <c r="E125" s="29">
        <v>-2.2000000000000002</v>
      </c>
      <c r="F125" s="29">
        <v>-10.6</v>
      </c>
      <c r="G125" s="29">
        <v>-0.3</v>
      </c>
    </row>
    <row r="126" spans="1:7" x14ac:dyDescent="0.2">
      <c r="A126" s="11"/>
      <c r="B126" s="11"/>
      <c r="C126" s="11"/>
      <c r="D126" s="11"/>
      <c r="E126" s="11"/>
      <c r="F126" s="11"/>
      <c r="G126" s="11"/>
    </row>
    <row r="127" spans="1:7" x14ac:dyDescent="0.2">
      <c r="A127" s="9" t="s">
        <v>739</v>
      </c>
      <c r="B127" s="11"/>
      <c r="C127" s="11"/>
      <c r="D127" s="11"/>
      <c r="E127" s="11"/>
      <c r="F127" s="11"/>
      <c r="G127" s="11"/>
    </row>
    <row r="128" spans="1:7" x14ac:dyDescent="0.2">
      <c r="A128" s="11" t="s">
        <v>740</v>
      </c>
      <c r="B128" s="19" t="s">
        <v>30</v>
      </c>
      <c r="C128" s="19" t="s">
        <v>30</v>
      </c>
      <c r="D128" s="19" t="s">
        <v>30</v>
      </c>
      <c r="E128" s="19">
        <v>6.6580000000000004</v>
      </c>
      <c r="F128" s="19">
        <v>14.420999999999999</v>
      </c>
      <c r="G128" s="19" t="s">
        <v>30</v>
      </c>
    </row>
    <row r="129" spans="1:7" x14ac:dyDescent="0.2">
      <c r="A129" s="11"/>
      <c r="B129" s="11"/>
      <c r="C129" s="11"/>
      <c r="D129" s="11"/>
      <c r="E129" s="11"/>
      <c r="F129" s="11"/>
      <c r="G129" s="11"/>
    </row>
    <row r="130" spans="1:7" ht="61.2" x14ac:dyDescent="0.2">
      <c r="A130" s="41" t="s">
        <v>76</v>
      </c>
      <c r="B130" s="12"/>
      <c r="C130" s="12"/>
      <c r="D130" s="12"/>
      <c r="E130" s="12"/>
      <c r="F130" s="12"/>
      <c r="G130" s="12"/>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55"/>
  <sheetViews>
    <sheetView workbookViewId="0"/>
    <sheetView workbookViewId="1"/>
    <sheetView workbookViewId="2"/>
  </sheetViews>
  <sheetFormatPr defaultRowHeight="10.199999999999999" x14ac:dyDescent="0.2"/>
  <cols>
    <col min="1" max="1" width="45.77734375" customWidth="1"/>
    <col min="2" max="7" width="14.77734375" customWidth="1"/>
  </cols>
  <sheetData>
    <row r="5" spans="1:255" ht="16.2" x14ac:dyDescent="0.25">
      <c r="A5" s="1" t="s">
        <v>768</v>
      </c>
    </row>
    <row r="7" spans="1:255" x14ac:dyDescent="0.2">
      <c r="A7" s="2" t="s">
        <v>769</v>
      </c>
      <c r="B7" s="3" t="s">
        <v>770</v>
      </c>
      <c r="C7" t="s">
        <v>771</v>
      </c>
      <c r="D7" s="4" t="s">
        <v>4</v>
      </c>
      <c r="E7" s="3" t="s">
        <v>772</v>
      </c>
      <c r="F7" t="s">
        <v>82</v>
      </c>
    </row>
    <row r="8" spans="1:255" x14ac:dyDescent="0.2">
      <c r="A8" s="4"/>
      <c r="B8" s="3" t="s">
        <v>773</v>
      </c>
      <c r="C8" t="s">
        <v>84</v>
      </c>
      <c r="D8" s="4" t="s">
        <v>4</v>
      </c>
      <c r="E8" s="3" t="s">
        <v>774</v>
      </c>
      <c r="F8" t="s">
        <v>8</v>
      </c>
    </row>
    <row r="9" spans="1:255" x14ac:dyDescent="0.2">
      <c r="A9" s="4"/>
      <c r="B9" s="3" t="s">
        <v>775</v>
      </c>
      <c r="C9" t="s">
        <v>87</v>
      </c>
      <c r="D9" s="4" t="s">
        <v>4</v>
      </c>
      <c r="E9" s="3" t="s">
        <v>776</v>
      </c>
      <c r="F9" t="s">
        <v>6</v>
      </c>
    </row>
    <row r="10" spans="1:255" x14ac:dyDescent="0.2">
      <c r="A10" s="4"/>
      <c r="B10" s="3" t="s">
        <v>777</v>
      </c>
      <c r="C10" t="s">
        <v>10</v>
      </c>
      <c r="D10" s="4" t="s">
        <v>4</v>
      </c>
      <c r="E10" s="3" t="s">
        <v>778</v>
      </c>
      <c r="F10" s="5" t="s">
        <v>12</v>
      </c>
    </row>
    <row r="13" spans="1:255" x14ac:dyDescent="0.2">
      <c r="A13" s="6" t="s">
        <v>779</v>
      </c>
      <c r="B13" s="6"/>
      <c r="C13" s="6"/>
      <c r="D13" s="6"/>
      <c r="E13" s="6"/>
      <c r="F13" s="6"/>
      <c r="G13" s="6"/>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75"/>
      <c r="EC13" s="75"/>
      <c r="ED13" s="75"/>
      <c r="EE13" s="75"/>
      <c r="EF13" s="75"/>
      <c r="EG13" s="75"/>
      <c r="EH13" s="75"/>
      <c r="EI13" s="75"/>
      <c r="EJ13" s="75"/>
      <c r="EK13" s="75"/>
      <c r="EL13" s="75"/>
      <c r="EM13" s="75"/>
      <c r="EN13" s="75"/>
      <c r="EO13" s="75"/>
      <c r="EP13" s="75"/>
      <c r="EQ13" s="75"/>
      <c r="ER13" s="75"/>
      <c r="ES13" s="75"/>
      <c r="ET13" s="75"/>
      <c r="EU13" s="75"/>
      <c r="EV13" s="75"/>
      <c r="EW13" s="75"/>
      <c r="EX13" s="75"/>
      <c r="EY13" s="75"/>
      <c r="EZ13" s="75"/>
      <c r="FA13" s="75"/>
      <c r="FB13" s="75"/>
      <c r="FC13" s="75"/>
      <c r="FD13" s="75"/>
      <c r="FE13" s="75"/>
      <c r="FF13" s="75"/>
      <c r="FG13" s="75"/>
      <c r="FH13" s="75"/>
      <c r="FI13" s="75"/>
      <c r="FJ13" s="75"/>
      <c r="FK13" s="75"/>
      <c r="FL13" s="75"/>
      <c r="FM13" s="75"/>
      <c r="FN13" s="75"/>
      <c r="FO13" s="75"/>
      <c r="FP13" s="75"/>
      <c r="FQ13" s="75"/>
      <c r="FR13" s="75"/>
      <c r="FS13" s="75"/>
      <c r="FT13" s="75"/>
      <c r="FU13" s="75"/>
      <c r="FV13" s="75"/>
      <c r="FW13" s="75"/>
      <c r="FX13" s="75"/>
      <c r="FY13" s="75"/>
      <c r="FZ13" s="75"/>
      <c r="GA13" s="75"/>
      <c r="GB13" s="75"/>
      <c r="GC13" s="75"/>
      <c r="GD13" s="75"/>
      <c r="GE13" s="75"/>
      <c r="GF13" s="75"/>
      <c r="GG13" s="75"/>
      <c r="GH13" s="75"/>
      <c r="GI13" s="75"/>
      <c r="GJ13" s="75"/>
      <c r="GK13" s="75"/>
      <c r="GL13" s="75"/>
      <c r="GM13" s="75"/>
      <c r="GN13" s="75"/>
      <c r="GO13" s="75"/>
      <c r="GP13" s="75"/>
      <c r="GQ13" s="75"/>
      <c r="GR13" s="75"/>
      <c r="GS13" s="75"/>
      <c r="GT13" s="75"/>
      <c r="GU13" s="75"/>
      <c r="GV13" s="75"/>
      <c r="GW13" s="75"/>
      <c r="GX13" s="75"/>
      <c r="GY13" s="75"/>
      <c r="GZ13" s="75"/>
      <c r="HA13" s="75"/>
      <c r="HB13" s="75"/>
      <c r="HC13" s="75"/>
      <c r="HD13" s="75"/>
      <c r="HE13" s="75"/>
      <c r="HF13" s="75"/>
      <c r="HG13" s="75"/>
      <c r="HH13" s="75"/>
      <c r="HI13" s="75"/>
      <c r="HJ13" s="75"/>
      <c r="HK13" s="75"/>
      <c r="HL13" s="75"/>
      <c r="HM13" s="75"/>
      <c r="HN13" s="75"/>
      <c r="HO13" s="75"/>
      <c r="HP13" s="75"/>
      <c r="HQ13" s="75"/>
      <c r="HR13" s="75"/>
      <c r="HS13" s="75"/>
      <c r="HT13" s="75"/>
      <c r="HU13" s="75"/>
      <c r="HV13" s="75"/>
      <c r="HW13" s="75"/>
      <c r="HX13" s="75"/>
      <c r="HY13" s="75"/>
      <c r="HZ13" s="75"/>
      <c r="IA13" s="75"/>
      <c r="IB13" s="75"/>
      <c r="IC13" s="75"/>
      <c r="ID13" s="75"/>
      <c r="IE13" s="75"/>
      <c r="IF13" s="75"/>
      <c r="IG13" s="75"/>
      <c r="IH13" s="75"/>
      <c r="II13" s="75"/>
      <c r="IJ13" s="75"/>
      <c r="IK13" s="75"/>
      <c r="IL13" s="75"/>
      <c r="IM13" s="75"/>
      <c r="IN13" s="75"/>
      <c r="IO13" s="75"/>
      <c r="IP13" s="75"/>
      <c r="IQ13" s="75"/>
      <c r="IR13" s="75"/>
      <c r="IS13" s="75"/>
      <c r="IT13" s="75"/>
      <c r="IU13" s="75"/>
    </row>
    <row r="14" spans="1:255" ht="30.6" x14ac:dyDescent="0.2">
      <c r="A14" s="7" t="s">
        <v>16</v>
      </c>
      <c r="B14" s="13" t="s">
        <v>94</v>
      </c>
      <c r="C14" s="13" t="s">
        <v>95</v>
      </c>
      <c r="D14" s="13" t="s">
        <v>96</v>
      </c>
      <c r="E14" s="13" t="s">
        <v>97</v>
      </c>
      <c r="F14" s="13" t="s">
        <v>98</v>
      </c>
      <c r="G14" s="13" t="s">
        <v>99</v>
      </c>
    </row>
    <row r="15" spans="1:255" x14ac:dyDescent="0.2">
      <c r="A15" s="8" t="s">
        <v>25</v>
      </c>
      <c r="B15" s="14" t="s">
        <v>26</v>
      </c>
      <c r="C15" s="14" t="s">
        <v>26</v>
      </c>
      <c r="D15" s="14" t="s">
        <v>26</v>
      </c>
      <c r="E15" s="14" t="s">
        <v>26</v>
      </c>
      <c r="F15" s="14" t="s">
        <v>26</v>
      </c>
      <c r="G15" s="14" t="s">
        <v>26</v>
      </c>
    </row>
    <row r="16" spans="1:255" x14ac:dyDescent="0.2">
      <c r="A16" s="9" t="s">
        <v>780</v>
      </c>
      <c r="B16" s="11"/>
      <c r="C16" s="11"/>
      <c r="D16" s="11"/>
      <c r="E16" s="11"/>
      <c r="F16" s="11"/>
      <c r="G16" s="11"/>
    </row>
    <row r="17" spans="1:7" x14ac:dyDescent="0.2">
      <c r="A17" s="11" t="s">
        <v>781</v>
      </c>
      <c r="B17" s="19">
        <v>1164.7619999999999</v>
      </c>
      <c r="C17" s="19">
        <v>1158.884</v>
      </c>
      <c r="D17" s="19">
        <v>1057.893</v>
      </c>
      <c r="E17" s="19">
        <v>1364.585</v>
      </c>
      <c r="F17" s="19">
        <v>1727.684</v>
      </c>
      <c r="G17" s="19">
        <v>1783.4</v>
      </c>
    </row>
    <row r="18" spans="1:7" x14ac:dyDescent="0.2">
      <c r="A18" s="9" t="s">
        <v>782</v>
      </c>
      <c r="B18" s="15">
        <v>1164.7619999999999</v>
      </c>
      <c r="C18" s="15">
        <v>1158.884</v>
      </c>
      <c r="D18" s="15">
        <v>1057.893</v>
      </c>
      <c r="E18" s="15">
        <v>1364.585</v>
      </c>
      <c r="F18" s="15">
        <v>1727.684</v>
      </c>
      <c r="G18" s="15">
        <v>1783.4</v>
      </c>
    </row>
    <row r="19" spans="1:7" x14ac:dyDescent="0.2">
      <c r="A19" s="11"/>
      <c r="B19" s="11"/>
      <c r="C19" s="11"/>
      <c r="D19" s="11"/>
      <c r="E19" s="11"/>
      <c r="F19" s="11"/>
      <c r="G19" s="11"/>
    </row>
    <row r="20" spans="1:7" x14ac:dyDescent="0.2">
      <c r="A20" s="9" t="s">
        <v>783</v>
      </c>
      <c r="B20" s="11"/>
      <c r="C20" s="11"/>
      <c r="D20" s="11"/>
      <c r="E20" s="11"/>
      <c r="F20" s="11"/>
      <c r="G20" s="11"/>
    </row>
    <row r="21" spans="1:7" x14ac:dyDescent="0.2">
      <c r="A21" s="11" t="s">
        <v>781</v>
      </c>
      <c r="B21" s="19">
        <v>582.40599999999995</v>
      </c>
      <c r="C21" s="19">
        <v>477.58699999999999</v>
      </c>
      <c r="D21" s="19">
        <v>332.61200000000002</v>
      </c>
      <c r="E21" s="19">
        <v>424.286</v>
      </c>
      <c r="F21" s="19">
        <v>565.46400000000006</v>
      </c>
      <c r="G21" s="19">
        <v>638.77700000000004</v>
      </c>
    </row>
    <row r="22" spans="1:7" x14ac:dyDescent="0.2">
      <c r="A22" s="9" t="s">
        <v>784</v>
      </c>
      <c r="B22" s="15">
        <v>582.40599999999995</v>
      </c>
      <c r="C22" s="15">
        <v>477.58699999999999</v>
      </c>
      <c r="D22" s="15">
        <v>332.61200000000002</v>
      </c>
      <c r="E22" s="15">
        <v>424.286</v>
      </c>
      <c r="F22" s="15">
        <v>565.46400000000006</v>
      </c>
      <c r="G22" s="15">
        <v>638.77700000000004</v>
      </c>
    </row>
    <row r="23" spans="1:7" x14ac:dyDescent="0.2">
      <c r="A23" s="11"/>
      <c r="B23" s="11"/>
      <c r="C23" s="11"/>
      <c r="D23" s="11"/>
      <c r="E23" s="11"/>
      <c r="F23" s="11"/>
      <c r="G23" s="11"/>
    </row>
    <row r="24" spans="1:7" x14ac:dyDescent="0.2">
      <c r="A24" s="9" t="s">
        <v>785</v>
      </c>
      <c r="B24" s="11"/>
      <c r="C24" s="11"/>
      <c r="D24" s="11"/>
      <c r="E24" s="11"/>
      <c r="F24" s="11"/>
      <c r="G24" s="11"/>
    </row>
    <row r="25" spans="1:7" x14ac:dyDescent="0.2">
      <c r="A25" s="11" t="s">
        <v>781</v>
      </c>
      <c r="B25" s="19">
        <v>-183.3</v>
      </c>
      <c r="C25" s="19">
        <v>-177.4</v>
      </c>
      <c r="D25" s="19">
        <v>-186.9</v>
      </c>
      <c r="E25" s="19">
        <v>-204.1</v>
      </c>
      <c r="F25" s="19">
        <v>-226.8</v>
      </c>
      <c r="G25" s="19">
        <v>-250.2</v>
      </c>
    </row>
    <row r="26" spans="1:7" x14ac:dyDescent="0.2">
      <c r="A26" s="9" t="s">
        <v>786</v>
      </c>
      <c r="B26" s="15">
        <v>-183.3</v>
      </c>
      <c r="C26" s="15">
        <v>-177.4</v>
      </c>
      <c r="D26" s="15">
        <v>-186.9</v>
      </c>
      <c r="E26" s="15">
        <v>-204.1</v>
      </c>
      <c r="F26" s="15">
        <v>-226.8</v>
      </c>
      <c r="G26" s="15">
        <v>-250.2</v>
      </c>
    </row>
    <row r="27" spans="1:7" x14ac:dyDescent="0.2">
      <c r="A27" s="11"/>
      <c r="B27" s="11"/>
      <c r="C27" s="11"/>
      <c r="D27" s="11"/>
      <c r="E27" s="11"/>
      <c r="F27" s="11"/>
      <c r="G27" s="11"/>
    </row>
    <row r="28" spans="1:7" x14ac:dyDescent="0.2">
      <c r="A28" s="9" t="s">
        <v>787</v>
      </c>
      <c r="B28" s="11"/>
      <c r="C28" s="11"/>
      <c r="D28" s="11"/>
      <c r="E28" s="11"/>
      <c r="F28" s="11"/>
      <c r="G28" s="11"/>
    </row>
    <row r="29" spans="1:7" x14ac:dyDescent="0.2">
      <c r="A29" s="11" t="s">
        <v>781</v>
      </c>
      <c r="B29" s="19">
        <v>399.346</v>
      </c>
      <c r="C29" s="19">
        <v>312.00599999999997</v>
      </c>
      <c r="D29" s="19">
        <v>927.87400000000002</v>
      </c>
      <c r="E29" s="19">
        <v>745.12599999999998</v>
      </c>
      <c r="F29" s="19">
        <v>44.304000000000002</v>
      </c>
      <c r="G29" s="19">
        <v>643.91399999999999</v>
      </c>
    </row>
    <row r="30" spans="1:7" x14ac:dyDescent="0.2">
      <c r="A30" s="9" t="s">
        <v>788</v>
      </c>
      <c r="B30" s="15">
        <v>399.346</v>
      </c>
      <c r="C30" s="15">
        <v>312.00599999999997</v>
      </c>
      <c r="D30" s="15">
        <v>927.87400000000002</v>
      </c>
      <c r="E30" s="15">
        <v>745.12599999999998</v>
      </c>
      <c r="F30" s="15">
        <v>44.304000000000002</v>
      </c>
      <c r="G30" s="15">
        <v>643.91399999999999</v>
      </c>
    </row>
    <row r="31" spans="1:7" x14ac:dyDescent="0.2">
      <c r="A31" s="11"/>
      <c r="B31" s="11"/>
      <c r="C31" s="11"/>
      <c r="D31" s="11"/>
      <c r="E31" s="11"/>
      <c r="F31" s="11"/>
      <c r="G31" s="11"/>
    </row>
    <row r="32" spans="1:7" x14ac:dyDescent="0.2">
      <c r="A32" s="9" t="s">
        <v>789</v>
      </c>
      <c r="B32" s="11"/>
      <c r="C32" s="11"/>
      <c r="D32" s="11"/>
      <c r="E32" s="11"/>
      <c r="F32" s="11"/>
      <c r="G32" s="11"/>
    </row>
    <row r="33" spans="1:7" x14ac:dyDescent="0.2">
      <c r="A33" s="11" t="s">
        <v>781</v>
      </c>
      <c r="B33" s="19">
        <v>1.6</v>
      </c>
      <c r="C33" s="19">
        <v>-3.3</v>
      </c>
      <c r="D33" s="19">
        <v>0.97799999999999998</v>
      </c>
      <c r="E33" s="19">
        <v>3.38</v>
      </c>
      <c r="F33" s="19">
        <v>56.654000000000003</v>
      </c>
      <c r="G33" s="19">
        <v>60.951999999999998</v>
      </c>
    </row>
    <row r="34" spans="1:7" x14ac:dyDescent="0.2">
      <c r="A34" s="9" t="s">
        <v>790</v>
      </c>
      <c r="B34" s="15">
        <v>1.6</v>
      </c>
      <c r="C34" s="15">
        <v>-3.3</v>
      </c>
      <c r="D34" s="15">
        <v>0.97799999999999998</v>
      </c>
      <c r="E34" s="15">
        <v>3.38</v>
      </c>
      <c r="F34" s="15">
        <v>56.654000000000003</v>
      </c>
      <c r="G34" s="15">
        <v>60.951999999999998</v>
      </c>
    </row>
    <row r="35" spans="1:7" x14ac:dyDescent="0.2">
      <c r="A35" s="11"/>
      <c r="B35" s="11"/>
      <c r="C35" s="11"/>
      <c r="D35" s="11"/>
      <c r="E35" s="11"/>
      <c r="F35" s="11"/>
      <c r="G35" s="11"/>
    </row>
    <row r="36" spans="1:7" x14ac:dyDescent="0.2">
      <c r="A36" s="9" t="s">
        <v>791</v>
      </c>
      <c r="B36" s="11"/>
      <c r="C36" s="11"/>
      <c r="D36" s="11"/>
      <c r="E36" s="11"/>
      <c r="F36" s="11"/>
      <c r="G36" s="11"/>
    </row>
    <row r="37" spans="1:7" x14ac:dyDescent="0.2">
      <c r="A37" s="11" t="s">
        <v>781</v>
      </c>
      <c r="B37" s="19">
        <v>497.79500000000002</v>
      </c>
      <c r="C37" s="19">
        <v>410.60500000000002</v>
      </c>
      <c r="D37" s="19">
        <v>1000.833</v>
      </c>
      <c r="E37" s="19">
        <v>844.05899999999997</v>
      </c>
      <c r="F37" s="19">
        <v>125.976</v>
      </c>
      <c r="G37" s="19">
        <v>654.27300000000002</v>
      </c>
    </row>
    <row r="38" spans="1:7" x14ac:dyDescent="0.2">
      <c r="A38" s="9" t="s">
        <v>792</v>
      </c>
      <c r="B38" s="15">
        <v>497.79500000000002</v>
      </c>
      <c r="C38" s="15">
        <v>410.60500000000002</v>
      </c>
      <c r="D38" s="15">
        <v>1000.833</v>
      </c>
      <c r="E38" s="15">
        <v>844.05899999999997</v>
      </c>
      <c r="F38" s="15">
        <v>125.976</v>
      </c>
      <c r="G38" s="15">
        <v>654.27300000000002</v>
      </c>
    </row>
    <row r="39" spans="1:7" x14ac:dyDescent="0.2">
      <c r="A39" s="11"/>
      <c r="B39" s="11"/>
      <c r="C39" s="11"/>
      <c r="D39" s="11"/>
      <c r="E39" s="11"/>
      <c r="F39" s="11"/>
      <c r="G39" s="11"/>
    </row>
    <row r="40" spans="1:7" x14ac:dyDescent="0.2">
      <c r="A40" s="9" t="s">
        <v>793</v>
      </c>
      <c r="B40" s="11"/>
      <c r="C40" s="11"/>
      <c r="D40" s="11"/>
      <c r="E40" s="11"/>
      <c r="F40" s="11"/>
      <c r="G40" s="11"/>
    </row>
    <row r="41" spans="1:7" x14ac:dyDescent="0.2">
      <c r="A41" s="11" t="s">
        <v>781</v>
      </c>
      <c r="B41" s="19">
        <v>10999.1</v>
      </c>
      <c r="C41" s="19">
        <v>10997.867</v>
      </c>
      <c r="D41" s="19">
        <v>11614.498</v>
      </c>
      <c r="E41" s="19">
        <v>18459.199000000001</v>
      </c>
      <c r="F41" s="19">
        <v>17826.121999999999</v>
      </c>
      <c r="G41" s="19">
        <v>18274.022000000001</v>
      </c>
    </row>
    <row r="42" spans="1:7" x14ac:dyDescent="0.2">
      <c r="A42" s="9" t="s">
        <v>555</v>
      </c>
      <c r="B42" s="15">
        <v>10999.1</v>
      </c>
      <c r="C42" s="15">
        <v>10997.867</v>
      </c>
      <c r="D42" s="15">
        <v>11614.498</v>
      </c>
      <c r="E42" s="15">
        <v>18459.199000000001</v>
      </c>
      <c r="F42" s="15">
        <v>17826.121999999999</v>
      </c>
      <c r="G42" s="15">
        <v>18274.022000000001</v>
      </c>
    </row>
    <row r="43" spans="1:7" x14ac:dyDescent="0.2">
      <c r="A43" s="11"/>
      <c r="B43" s="11"/>
      <c r="C43" s="11"/>
      <c r="D43" s="11"/>
      <c r="E43" s="11"/>
      <c r="F43" s="11"/>
      <c r="G43" s="11"/>
    </row>
    <row r="44" spans="1:7" x14ac:dyDescent="0.2">
      <c r="A44" s="9" t="s">
        <v>794</v>
      </c>
      <c r="B44" s="11"/>
      <c r="C44" s="11"/>
      <c r="D44" s="11"/>
      <c r="E44" s="11"/>
      <c r="F44" s="11"/>
      <c r="G44" s="11"/>
    </row>
    <row r="45" spans="1:7" x14ac:dyDescent="0.2">
      <c r="A45" s="11" t="s">
        <v>781</v>
      </c>
      <c r="B45" s="19">
        <v>290.18</v>
      </c>
      <c r="C45" s="19">
        <v>296.17899999999997</v>
      </c>
      <c r="D45" s="19">
        <v>285.755</v>
      </c>
      <c r="E45" s="19">
        <v>377.37700000000001</v>
      </c>
      <c r="F45" s="19">
        <v>487.90899999999999</v>
      </c>
      <c r="G45" s="19">
        <v>485.512</v>
      </c>
    </row>
    <row r="46" spans="1:7" x14ac:dyDescent="0.2">
      <c r="A46" s="9" t="s">
        <v>795</v>
      </c>
      <c r="B46" s="15">
        <v>290.18</v>
      </c>
      <c r="C46" s="15">
        <v>296.17899999999997</v>
      </c>
      <c r="D46" s="15">
        <v>285.755</v>
      </c>
      <c r="E46" s="15">
        <v>377.37700000000001</v>
      </c>
      <c r="F46" s="15">
        <v>487.90899999999999</v>
      </c>
      <c r="G46" s="15">
        <v>485.512</v>
      </c>
    </row>
    <row r="47" spans="1:7" x14ac:dyDescent="0.2">
      <c r="A47" s="11"/>
      <c r="B47" s="11"/>
      <c r="C47" s="11"/>
      <c r="D47" s="11"/>
      <c r="E47" s="11"/>
      <c r="F47" s="11"/>
      <c r="G47" s="11"/>
    </row>
    <row r="48" spans="1:7" x14ac:dyDescent="0.2">
      <c r="A48" s="9" t="s">
        <v>796</v>
      </c>
      <c r="B48" s="11"/>
      <c r="C48" s="11"/>
      <c r="D48" s="11"/>
      <c r="E48" s="11"/>
      <c r="F48" s="11"/>
      <c r="G48" s="11"/>
    </row>
    <row r="49" spans="1:7" x14ac:dyDescent="0.2">
      <c r="A49" s="11" t="s">
        <v>781</v>
      </c>
      <c r="B49" s="19">
        <v>-536.9</v>
      </c>
      <c r="C49" s="19">
        <v>-445.6</v>
      </c>
      <c r="D49" s="19">
        <v>-256.3</v>
      </c>
      <c r="E49" s="19" t="s">
        <v>30</v>
      </c>
      <c r="F49" s="19" t="s">
        <v>30</v>
      </c>
      <c r="G49" s="19" t="s">
        <v>30</v>
      </c>
    </row>
    <row r="50" spans="1:7" x14ac:dyDescent="0.2">
      <c r="A50" s="9" t="s">
        <v>797</v>
      </c>
      <c r="B50" s="15">
        <v>-536.9</v>
      </c>
      <c r="C50" s="15">
        <v>-445.6</v>
      </c>
      <c r="D50" s="15">
        <v>-256.3</v>
      </c>
      <c r="E50" s="15" t="s">
        <v>30</v>
      </c>
      <c r="F50" s="15" t="s">
        <v>30</v>
      </c>
      <c r="G50" s="15" t="s">
        <v>30</v>
      </c>
    </row>
    <row r="51" spans="1:7" x14ac:dyDescent="0.2">
      <c r="A51" s="11"/>
      <c r="B51" s="11"/>
      <c r="C51" s="11"/>
      <c r="D51" s="11"/>
      <c r="E51" s="11"/>
      <c r="F51" s="11"/>
      <c r="G51" s="11"/>
    </row>
    <row r="52" spans="1:7" x14ac:dyDescent="0.2">
      <c r="A52" s="11"/>
      <c r="B52" s="11" t="s">
        <v>39</v>
      </c>
      <c r="C52" s="11" t="s">
        <v>39</v>
      </c>
      <c r="D52" s="11" t="s">
        <v>39</v>
      </c>
      <c r="E52" s="11" t="s">
        <v>39</v>
      </c>
      <c r="F52" s="11" t="s">
        <v>39</v>
      </c>
      <c r="G52" s="11" t="s">
        <v>39</v>
      </c>
    </row>
    <row r="53" spans="1:7" x14ac:dyDescent="0.2">
      <c r="A53" s="11" t="s">
        <v>157</v>
      </c>
      <c r="B53" s="34">
        <v>44250</v>
      </c>
      <c r="C53" s="34">
        <v>44621</v>
      </c>
      <c r="D53" s="34">
        <v>44981</v>
      </c>
      <c r="E53" s="34">
        <v>45348</v>
      </c>
      <c r="F53" s="34">
        <v>45348</v>
      </c>
      <c r="G53" s="34">
        <v>45348</v>
      </c>
    </row>
    <row r="54" spans="1:7" x14ac:dyDescent="0.2">
      <c r="A54" s="12"/>
      <c r="B54" s="12"/>
      <c r="C54" s="12"/>
      <c r="D54" s="12"/>
      <c r="E54" s="12"/>
      <c r="F54" s="12"/>
      <c r="G54" s="12"/>
    </row>
    <row r="55" spans="1:7" x14ac:dyDescent="0.2">
      <c r="A55" s="26" t="s">
        <v>76</v>
      </c>
    </row>
  </sheetData>
  <phoneticPr fontId="0" type="noConversion"/>
  <pageMargins left="0.2" right="0.2" top="0.5" bottom="0.5" header="0.5" footer="0.5"/>
  <pageSetup fitToWidth="0" fitToHeight="0"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Key Stats</vt:lpstr>
      <vt:lpstr>DCF</vt:lpstr>
      <vt:lpstr>DCF Real</vt:lpstr>
      <vt:lpstr>Income Statement</vt:lpstr>
      <vt:lpstr>Balance Sheet</vt:lpstr>
      <vt:lpstr>Cash Flow</vt:lpstr>
      <vt:lpstr>Multiples</vt:lpstr>
      <vt:lpstr>Historical Capitalization</vt:lpstr>
      <vt:lpstr>Capital Structure Summary</vt:lpstr>
      <vt:lpstr>Capital Structure Details</vt:lpstr>
      <vt:lpstr>Ratios</vt:lpstr>
      <vt:lpstr>Supplemental</vt:lpstr>
      <vt:lpstr>Industry Specific</vt:lpstr>
      <vt:lpstr>Pension OPEB</vt:lpstr>
      <vt:lpstr>Segments</vt:lpstr>
      <vt:lpstr>'Balance Sheet'!Print_Titles</vt:lpstr>
      <vt:lpstr>'Capital Structure Details'!Print_Titles</vt:lpstr>
      <vt:lpstr>'Capital Structure Summary'!Print_Titles</vt:lpstr>
      <vt:lpstr>'Cash Flow'!Print_Titles</vt:lpstr>
      <vt:lpstr>'Historical Capitalization'!Print_Titles</vt:lpstr>
      <vt:lpstr>'Income Statement'!Print_Titles</vt:lpstr>
      <vt:lpstr>'Industry Specific'!Print_Titles</vt:lpstr>
      <vt:lpstr>'Key Stats'!Print_Titles</vt:lpstr>
      <vt:lpstr>Multiples!Print_Titles</vt:lpstr>
      <vt:lpstr>'Pension OPEB'!Print_Titles</vt:lpstr>
      <vt:lpstr>Ratios!Print_Titles</vt:lpstr>
      <vt:lpstr>Segments!Print_Titles</vt:lpstr>
      <vt:lpstr>Supplemental!Print_Titles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2004-07-20T21:40:42Z</dcterms:created>
  <dcterms:modified xsi:type="dcterms:W3CDTF">2024-04-01T16:14:42Z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ies>
</file>