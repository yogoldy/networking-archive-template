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filterPrivacy="1"/>
  <xr:revisionPtr revIDLastSave="0" documentId="8_{53058778-C8A7-4FCB-A88E-B8E186989C65}" xr6:coauthVersionLast="47" xr6:coauthVersionMax="47" xr10:uidLastSave="{00000000-0000-0000-0000-000000000000}"/>
  <bookViews>
    <workbookView xWindow="1125" yWindow="1125" windowWidth="38700" windowHeight="15345" activeTab="1"/>
  </bookViews>
  <sheets>
    <sheet name="Income Statement" sheetId="1" r:id="rId1"/>
    <sheet name="DCF" sheetId="2" r:id="rId2"/>
    <sheet name="Sheet1" sheetId="3" r:id="rId3"/>
  </sheets>
  <definedNames>
    <definedName name="_xlnm.Print_Titles" localSheetId="0">'Income Statement'!$1:$3</definedName>
  </definedNames>
  <calcPr calcId="191029" fullCalcOnLoad="1" iterate="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2" l="1"/>
  <c r="D24" i="2"/>
  <c r="E24" i="2"/>
  <c r="F24" i="2"/>
  <c r="G24" i="2"/>
  <c r="B24" i="2"/>
  <c r="C22" i="2"/>
  <c r="D22" i="2"/>
  <c r="E22" i="2"/>
  <c r="F22" i="2"/>
  <c r="G22" i="2"/>
  <c r="B22" i="2"/>
  <c r="C21" i="2"/>
  <c r="D21" i="2"/>
  <c r="E21" i="2"/>
  <c r="F21" i="2"/>
  <c r="G21" i="2"/>
  <c r="B21" i="2"/>
  <c r="G19" i="2"/>
  <c r="G15" i="2"/>
  <c r="G16" i="2"/>
  <c r="F19" i="2"/>
  <c r="F15" i="2"/>
  <c r="F16" i="2"/>
  <c r="E19" i="2"/>
  <c r="E15" i="2"/>
  <c r="E16" i="2"/>
  <c r="D19" i="2"/>
  <c r="D15" i="2"/>
  <c r="D16" i="2"/>
  <c r="C19" i="2"/>
  <c r="C15" i="2"/>
  <c r="C16" i="2"/>
  <c r="B19" i="2"/>
  <c r="B15" i="2"/>
  <c r="B16" i="2"/>
  <c r="G13" i="2"/>
  <c r="F13" i="2"/>
  <c r="E13" i="2"/>
  <c r="D13" i="2"/>
  <c r="C13" i="2"/>
  <c r="B13" i="2"/>
  <c r="G9" i="2"/>
  <c r="F9" i="2"/>
  <c r="E9" i="2"/>
  <c r="D9" i="2"/>
  <c r="C9" i="2"/>
  <c r="D37" i="1"/>
  <c r="E37" i="1"/>
  <c r="F37" i="1"/>
  <c r="G37" i="1"/>
  <c r="C37" i="1"/>
  <c r="C34" i="1"/>
  <c r="D34" i="1"/>
  <c r="E34" i="1"/>
  <c r="F34" i="1"/>
  <c r="G34" i="1"/>
  <c r="B34" i="1"/>
</calcChain>
</file>

<file path=xl/sharedStrings.xml><?xml version="1.0" encoding="utf-8"?>
<sst xmlns="http://schemas.openxmlformats.org/spreadsheetml/2006/main" count="108" uniqueCount="55">
  <si>
    <t>Income Statement</t>
  </si>
  <si>
    <t>Currency</t>
  </si>
  <si>
    <t xml:space="preserve"> </t>
  </si>
  <si>
    <t>Revenue</t>
  </si>
  <si>
    <t>-</t>
  </si>
  <si>
    <t>Cost Of Goods Sold</t>
  </si>
  <si>
    <t xml:space="preserve">  Gross Profit</t>
  </si>
  <si>
    <t>Provision for Bad Debts</t>
  </si>
  <si>
    <t>R &amp; D Exp.</t>
  </si>
  <si>
    <t>Interest Expense</t>
  </si>
  <si>
    <t>Currency Exchange Gains (Loss)</t>
  </si>
  <si>
    <t>Other Non-Operating Inc. (Exp.)</t>
  </si>
  <si>
    <t xml:space="preserve">  EBT Excl. Unusual Items</t>
  </si>
  <si>
    <t>Restructuring Charges</t>
  </si>
  <si>
    <t>Merger &amp; Related Restruct. Charges</t>
  </si>
  <si>
    <t>Impairment of Goodwill</t>
  </si>
  <si>
    <t>Gain (Loss) On Sale Of Invest.</t>
  </si>
  <si>
    <t>Gain (Loss) On Sale Of Assets</t>
  </si>
  <si>
    <t>Asset Writedown</t>
  </si>
  <si>
    <t>Other Unusual Items</t>
  </si>
  <si>
    <t xml:space="preserve">  EBT Incl. Unusual Items</t>
  </si>
  <si>
    <t>Income Tax Expense</t>
  </si>
  <si>
    <t xml:space="preserve">  Earnings from Cont. Ops.</t>
  </si>
  <si>
    <t>Earnings of Discontinued Ops.</t>
  </si>
  <si>
    <t>Extraord. Item &amp; Account. Change</t>
  </si>
  <si>
    <t xml:space="preserve">  Net Income to Company</t>
  </si>
  <si>
    <t>Minority Int. in Earnings</t>
  </si>
  <si>
    <t xml:space="preserve">  Net Income</t>
  </si>
  <si>
    <t>EBIT</t>
  </si>
  <si>
    <t>2024E</t>
  </si>
  <si>
    <t>2025E</t>
  </si>
  <si>
    <t>2026E</t>
  </si>
  <si>
    <t>2027E</t>
  </si>
  <si>
    <t>2028E</t>
  </si>
  <si>
    <t>USD in Millions</t>
  </si>
  <si>
    <t>% Growth</t>
  </si>
  <si>
    <t>Other Operating Expenses</t>
  </si>
  <si>
    <t>% Margin</t>
  </si>
  <si>
    <t xml:space="preserve">Other Income </t>
  </si>
  <si>
    <t>Total Other Expenses</t>
  </si>
  <si>
    <t>Operating Expenses</t>
  </si>
  <si>
    <t>Tax Expense</t>
  </si>
  <si>
    <t>Tax Rates</t>
  </si>
  <si>
    <t>Tax Adjusted EBIT</t>
  </si>
  <si>
    <t>Plus: Depreciation &amp; Amortization</t>
  </si>
  <si>
    <t>Less: Capital Expenditures</t>
  </si>
  <si>
    <t xml:space="preserve">Less: </t>
  </si>
  <si>
    <t>Compatibility Report for F9745C40.xls</t>
  </si>
  <si>
    <t>Run on 3/27/2024 22:44</t>
  </si>
  <si>
    <t>If the workbook is saved in an earlier file format or opened in an earlier version of Microsoft Excel, the listed features will not be available.</t>
  </si>
  <si>
    <t>Minor loss of fidelity</t>
  </si>
  <si>
    <t># of occurrences</t>
  </si>
  <si>
    <t>Version</t>
  </si>
  <si>
    <t>Some cells or styles in this workbook contain formatting that is not supported by the selected file format. These formats will be converted to the closest format available.</t>
  </si>
  <si>
    <t>Excel 97-2003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</si>
</sst>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4" formatCode="_(&quot;$&quot;* #,##0.00_);_(&quot;$&quot;* \(#,##0.00\);_(&quot;$&quot;* &quot;-&quot;??_);_(@_)"/>
    <numFmt numFmtId="164" formatCode="_(* #,##0.0_);_(* \(#,##0.0\)_)\ ;_(* 0_)"/>
    <numFmt numFmtId="165" formatCode="_(&quot;$&quot;#,##0.0#_);_(\(&quot;$&quot;#,##0.0#\)_);_(&quot;$&quot;&quot; - &quot;_)"/>
    <numFmt numFmtId="166" formatCode="_(* #,##0.0#_);_(* \(#,##0.0#\)_)\ ;_(* 0_)"/>
    <numFmt numFmtId="167" formatCode="_(#,##0.0%_);_(\(#,##0.0%\)_);_(#,##0.0%_)"/>
    <numFmt numFmtId="168" formatCode="_(* #,##0.0##_);_(* \(#,##0.0##\)_)\ ;_(* 0_)"/>
    <numFmt numFmtId="169" formatCode="mmm\-dd\-yyyy"/>
    <numFmt numFmtId="171" formatCode="#,##0.0%_);\(#,##0.0%\);&quot;–&quot;_);@_)"/>
    <numFmt numFmtId="175" formatCode="_(&quot;$&quot;* #,##0_);_(&quot;$&quot;* \(#,##0\);_(&quot;$&quot;* &quot;-&quot;??_);_(@_)"/>
    <numFmt numFmtId="176" formatCode="_(* #,##0_);_(* \(#,##0\)_)\ ;_(* 0_)"/>
  </numFmts>
  <fonts count="26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13"/>
      <color indexed="8"/>
      <name val="Verdana"/>
      <family val="2"/>
    </font>
    <font>
      <b/>
      <sz val="12"/>
      <color indexed="8"/>
      <name val="Verdana"/>
      <family val="2"/>
    </font>
    <font>
      <b/>
      <sz val="10"/>
      <color indexed="9"/>
      <name val="Arial"/>
      <family val="2"/>
    </font>
    <font>
      <b/>
      <u val="singleAccounting"/>
      <sz val="8"/>
      <color indexed="8"/>
      <name val="Verdana"/>
      <family val="2"/>
    </font>
    <font>
      <b/>
      <sz val="8"/>
      <color indexed="9"/>
      <name val="Verdana"/>
      <family val="2"/>
    </font>
    <font>
      <b/>
      <u val="singleAccounting"/>
      <sz val="8"/>
      <color indexed="8"/>
      <name val="Arial"/>
      <family val="2"/>
    </font>
    <font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vertAlign val="subscript"/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sz val="1"/>
      <color indexed="9"/>
      <name val="Symbol"/>
      <family val="1"/>
      <charset val="2"/>
    </font>
    <font>
      <sz val="10"/>
      <color indexed="8"/>
      <name val="Arial"/>
      <family val="2"/>
    </font>
    <font>
      <b/>
      <sz val="8"/>
      <color indexed="8"/>
      <name val="Verdana"/>
      <family val="2"/>
    </font>
    <font>
      <i/>
      <sz val="8"/>
      <name val="Arial"/>
      <family val="2"/>
    </font>
    <font>
      <b/>
      <sz val="8"/>
      <name val="Arial"/>
      <family val="2"/>
    </font>
    <font>
      <sz val="9"/>
      <color indexed="8"/>
      <name val="Arial"/>
      <family val="2"/>
    </font>
    <font>
      <b/>
      <sz val="10"/>
      <color indexed="8"/>
      <name val="Arial"/>
      <family val="2"/>
    </font>
    <font>
      <b/>
      <i/>
      <sz val="10"/>
      <color indexed="8"/>
      <name val="Arial"/>
      <family val="2"/>
    </font>
    <font>
      <b/>
      <u val="double"/>
      <sz val="10"/>
      <color indexed="8"/>
      <name val="Arial"/>
      <family val="2"/>
    </font>
    <font>
      <sz val="10"/>
      <color theme="1"/>
      <name val="Verdana"/>
      <family val="2"/>
    </font>
    <font>
      <i/>
      <sz val="10"/>
      <color theme="1"/>
      <name val="Verdana"/>
      <family val="2"/>
    </font>
    <font>
      <i/>
      <sz val="9"/>
      <color theme="1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6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8">
    <xf numFmtId="0" fontId="0" fillId="0" borderId="0"/>
    <xf numFmtId="0" fontId="15" fillId="0" borderId="0" applyAlignment="0"/>
    <xf numFmtId="0" fontId="16" fillId="0" borderId="0" applyAlignment="0"/>
    <xf numFmtId="0" fontId="8" fillId="2" borderId="0" applyAlignment="0"/>
    <xf numFmtId="44" fontId="1" fillId="0" borderId="0" applyFont="0" applyFill="0" applyBorder="0" applyAlignment="0" applyProtection="0"/>
    <xf numFmtId="0" fontId="14" fillId="0" borderId="0" applyAlignment="0"/>
    <xf numFmtId="0" fontId="6" fillId="3" borderId="0" applyAlignment="0"/>
    <xf numFmtId="0" fontId="5" fillId="4" borderId="0" applyAlignment="0"/>
    <xf numFmtId="0" fontId="4" fillId="0" borderId="0" applyAlignment="0"/>
    <xf numFmtId="9" fontId="1" fillId="0" borderId="0" applyFont="0" applyFill="0" applyBorder="0" applyAlignment="0" applyProtection="0"/>
    <xf numFmtId="0" fontId="7" fillId="5" borderId="0" applyAlignment="0"/>
    <xf numFmtId="0" fontId="11" fillId="0" borderId="0" applyAlignment="0"/>
    <xf numFmtId="0" fontId="10" fillId="0" borderId="0" applyAlignment="0"/>
    <xf numFmtId="0" fontId="12" fillId="0" borderId="0" applyAlignment="0"/>
    <xf numFmtId="0" fontId="13" fillId="0" borderId="0" applyAlignment="0"/>
    <xf numFmtId="0" fontId="9" fillId="0" borderId="0" applyAlignment="0"/>
    <xf numFmtId="0" fontId="3" fillId="0" borderId="0" applyAlignment="0"/>
    <xf numFmtId="0" fontId="12" fillId="0" borderId="0" applyAlignment="0">
      <alignment wrapText="1"/>
    </xf>
  </cellStyleXfs>
  <cellXfs count="54">
    <xf numFmtId="0" fontId="2" fillId="0" borderId="0" xfId="0" applyFont="1"/>
    <xf numFmtId="0" fontId="3" fillId="0" borderId="0" xfId="0" applyNumberFormat="1" applyFont="1" applyAlignment="1"/>
    <xf numFmtId="0" fontId="17" fillId="0" borderId="0" xfId="0" applyFont="1" applyAlignment="1">
      <alignment wrapText="1"/>
    </xf>
    <xf numFmtId="0" fontId="18" fillId="0" borderId="0" xfId="0" applyFont="1"/>
    <xf numFmtId="0" fontId="9" fillId="0" borderId="0" xfId="0" applyNumberFormat="1" applyFont="1" applyAlignment="1">
      <alignment horizontal="left" vertical="top"/>
    </xf>
    <xf numFmtId="49" fontId="2" fillId="0" borderId="0" xfId="0" applyNumberFormat="1" applyFont="1"/>
    <xf numFmtId="0" fontId="9" fillId="0" borderId="0" xfId="0" applyNumberFormat="1" applyFont="1" applyAlignment="1">
      <alignment horizontal="left" vertical="center"/>
    </xf>
    <xf numFmtId="0" fontId="7" fillId="5" borderId="0" xfId="0" applyFont="1" applyFill="1" applyAlignment="1"/>
    <xf numFmtId="0" fontId="12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2" fillId="0" borderId="0" xfId="0" applyFont="1" applyAlignment="1">
      <alignment vertical="top" wrapText="1"/>
    </xf>
    <xf numFmtId="0" fontId="12" fillId="2" borderId="0" xfId="0" applyFont="1" applyFill="1" applyAlignment="1">
      <alignment horizontal="right" wrapText="1"/>
    </xf>
    <xf numFmtId="164" fontId="9" fillId="0" borderId="0" xfId="0" applyNumberFormat="1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 wrapText="1"/>
    </xf>
    <xf numFmtId="165" fontId="9" fillId="0" borderId="0" xfId="0" applyNumberFormat="1" applyFont="1" applyAlignment="1">
      <alignment horizontal="right" vertical="top" wrapText="1"/>
    </xf>
    <xf numFmtId="166" fontId="9" fillId="0" borderId="0" xfId="0" applyNumberFormat="1" applyFont="1" applyAlignment="1">
      <alignment horizontal="right" vertical="top" wrapText="1"/>
    </xf>
    <xf numFmtId="167" fontId="9" fillId="0" borderId="0" xfId="0" applyNumberFormat="1" applyFont="1" applyAlignment="1">
      <alignment horizontal="right" vertical="top" wrapText="1"/>
    </xf>
    <xf numFmtId="168" fontId="9" fillId="0" borderId="0" xfId="0" applyNumberFormat="1" applyFont="1" applyAlignment="1">
      <alignment horizontal="right" vertical="top" wrapText="1"/>
    </xf>
    <xf numFmtId="169" fontId="9" fillId="0" borderId="0" xfId="0" applyNumberFormat="1" applyFont="1" applyAlignment="1">
      <alignment horizontal="right" vertical="top" wrapText="1"/>
    </xf>
    <xf numFmtId="49" fontId="9" fillId="0" borderId="0" xfId="0" applyNumberFormat="1" applyFont="1" applyAlignment="1">
      <alignment horizontal="right" vertical="top" wrapText="1"/>
    </xf>
    <xf numFmtId="0" fontId="2" fillId="0" borderId="0" xfId="0" applyFont="1" applyAlignment="1"/>
    <xf numFmtId="0" fontId="9" fillId="0" borderId="0" xfId="0" applyNumberFormat="1" applyFont="1" applyAlignment="1">
      <alignment horizontal="center" vertical="center"/>
    </xf>
    <xf numFmtId="0" fontId="14" fillId="0" borderId="0" xfId="5" applyFont="1" applyAlignment="1"/>
    <xf numFmtId="171" fontId="23" fillId="6" borderId="0" xfId="0" applyNumberFormat="1" applyFont="1" applyFill="1"/>
    <xf numFmtId="0" fontId="20" fillId="2" borderId="0" xfId="0" applyFont="1" applyFill="1" applyAlignment="1">
      <alignment wrapText="1"/>
    </xf>
    <xf numFmtId="0" fontId="20" fillId="2" borderId="0" xfId="0" applyFont="1" applyFill="1" applyAlignment="1">
      <alignment horizontal="left" vertical="top" wrapText="1"/>
    </xf>
    <xf numFmtId="0" fontId="20" fillId="2" borderId="0" xfId="0" applyFont="1" applyFill="1" applyAlignment="1">
      <alignment horizontal="right" wrapText="1"/>
    </xf>
    <xf numFmtId="0" fontId="21" fillId="2" borderId="0" xfId="0" applyFont="1" applyFill="1" applyAlignment="1">
      <alignment wrapText="1"/>
    </xf>
    <xf numFmtId="0" fontId="20" fillId="0" borderId="0" xfId="0" applyFont="1" applyAlignment="1">
      <alignment horizontal="left" vertical="top"/>
    </xf>
    <xf numFmtId="0" fontId="15" fillId="0" borderId="0" xfId="0" applyFont="1" applyAlignment="1">
      <alignment horizontal="left" vertical="top"/>
    </xf>
    <xf numFmtId="164" fontId="15" fillId="0" borderId="0" xfId="0" applyNumberFormat="1" applyFont="1" applyAlignment="1">
      <alignment horizontal="right" vertical="top" wrapText="1"/>
    </xf>
    <xf numFmtId="171" fontId="24" fillId="0" borderId="0" xfId="0" applyNumberFormat="1" applyFont="1"/>
    <xf numFmtId="164" fontId="20" fillId="0" borderId="1" xfId="0" applyNumberFormat="1" applyFont="1" applyBorder="1" applyAlignment="1">
      <alignment horizontal="right" vertical="top" wrapText="1"/>
    </xf>
    <xf numFmtId="164" fontId="22" fillId="0" borderId="1" xfId="0" applyNumberFormat="1" applyFont="1" applyBorder="1" applyAlignment="1">
      <alignment horizontal="right" vertical="top" wrapText="1"/>
    </xf>
    <xf numFmtId="10" fontId="15" fillId="0" borderId="0" xfId="9" applyNumberFormat="1" applyFont="1" applyAlignment="1">
      <alignment horizontal="right" vertical="top" wrapText="1"/>
    </xf>
    <xf numFmtId="10" fontId="15" fillId="0" borderId="0" xfId="9" applyNumberFormat="1" applyFont="1" applyAlignment="1">
      <alignment horizontal="right" wrapText="1"/>
    </xf>
    <xf numFmtId="171" fontId="25" fillId="0" borderId="0" xfId="0" applyNumberFormat="1" applyFont="1" applyAlignment="1">
      <alignment horizontal="left" indent="1"/>
    </xf>
    <xf numFmtId="0" fontId="19" fillId="0" borderId="0" xfId="0" applyFont="1" applyAlignment="1">
      <alignment horizontal="left" vertical="top" indent="1"/>
    </xf>
    <xf numFmtId="0" fontId="20" fillId="0" borderId="2" xfId="0" applyFont="1" applyBorder="1" applyAlignment="1">
      <alignment horizontal="left" vertical="top"/>
    </xf>
    <xf numFmtId="0" fontId="15" fillId="0" borderId="3" xfId="0" applyFont="1" applyBorder="1" applyAlignment="1">
      <alignment horizontal="left" vertical="top"/>
    </xf>
    <xf numFmtId="175" fontId="15" fillId="0" borderId="0" xfId="4" applyNumberFormat="1" applyFont="1" applyAlignment="1">
      <alignment horizontal="right" vertical="top" wrapText="1"/>
    </xf>
    <xf numFmtId="176" fontId="15" fillId="0" borderId="0" xfId="0" applyNumberFormat="1" applyFont="1" applyAlignment="1">
      <alignment horizontal="right" vertical="top" wrapText="1"/>
    </xf>
    <xf numFmtId="176" fontId="20" fillId="0" borderId="1" xfId="0" applyNumberFormat="1" applyFont="1" applyBorder="1" applyAlignment="1">
      <alignment horizontal="right" vertical="top" wrapText="1"/>
    </xf>
    <xf numFmtId="176" fontId="20" fillId="0" borderId="2" xfId="0" applyNumberFormat="1" applyFont="1" applyBorder="1" applyAlignment="1">
      <alignment horizontal="right" vertical="top" wrapText="1"/>
    </xf>
    <xf numFmtId="0" fontId="20" fillId="0" borderId="0" xfId="0" applyFont="1" applyBorder="1" applyAlignment="1">
      <alignment horizontal="left" vertical="top"/>
    </xf>
    <xf numFmtId="176" fontId="20" fillId="0" borderId="0" xfId="0" applyNumberFormat="1" applyFont="1" applyBorder="1" applyAlignment="1">
      <alignment horizontal="right" vertical="top" wrapText="1"/>
    </xf>
    <xf numFmtId="0" fontId="18" fillId="0" borderId="0" xfId="0" applyNumberFormat="1" applyFont="1" applyAlignment="1">
      <alignment vertical="top" wrapText="1"/>
    </xf>
    <xf numFmtId="0" fontId="2" fillId="0" borderId="0" xfId="0" applyNumberFormat="1" applyFont="1" applyAlignment="1">
      <alignment vertical="top" wrapText="1"/>
    </xf>
    <xf numFmtId="0" fontId="2" fillId="0" borderId="4" xfId="0" applyNumberFormat="1" applyFont="1" applyBorder="1" applyAlignment="1">
      <alignment vertical="top" wrapText="1"/>
    </xf>
    <xf numFmtId="0" fontId="2" fillId="0" borderId="5" xfId="0" applyNumberFormat="1" applyFont="1" applyBorder="1" applyAlignment="1">
      <alignment vertical="top" wrapText="1"/>
    </xf>
    <xf numFmtId="0" fontId="18" fillId="0" borderId="0" xfId="0" applyNumberFormat="1" applyFont="1" applyAlignment="1">
      <alignment horizontal="center" vertical="top" wrapText="1"/>
    </xf>
    <xf numFmtId="0" fontId="2" fillId="0" borderId="0" xfId="0" applyNumberFormat="1" applyFont="1" applyAlignment="1">
      <alignment horizontal="center" vertical="top" wrapText="1"/>
    </xf>
    <xf numFmtId="0" fontId="2" fillId="0" borderId="5" xfId="0" applyNumberFormat="1" applyFont="1" applyBorder="1" applyAlignment="1">
      <alignment horizontal="center" vertical="top" wrapText="1"/>
    </xf>
    <xf numFmtId="0" fontId="2" fillId="0" borderId="6" xfId="0" applyNumberFormat="1" applyFont="1" applyBorder="1" applyAlignment="1">
      <alignment horizontal="center" vertical="top" wrapText="1"/>
    </xf>
  </cellXfs>
  <cellStyles count="21">
    <cellStyle name="ChartingText" xfId="1"/>
    <cellStyle name="CHPAboveAverage" xfId="2"/>
    <cellStyle name="CHPBelowAverage" xfId="2"/>
    <cellStyle name="CHPBottom" xfId="2"/>
    <cellStyle name="CHPTop" xfId="2"/>
    <cellStyle name="ColumnHeaderNormal" xfId="3"/>
    <cellStyle name="Currency" xfId="4" builtinId="4"/>
    <cellStyle name="Invisible" xfId="5"/>
    <cellStyle name="NewColumnHeaderNormal" xfId="6"/>
    <cellStyle name="NewSectionHeaderNormal" xfId="7"/>
    <cellStyle name="NewTitleNormal" xfId="8"/>
    <cellStyle name="Normal" xfId="0" builtinId="0"/>
    <cellStyle name="Percent" xfId="9" builtinId="5"/>
    <cellStyle name="SectionHeaderNormal" xfId="10"/>
    <cellStyle name="SubScript" xfId="11"/>
    <cellStyle name="SuperScript" xfId="12"/>
    <cellStyle name="TextBold" xfId="13"/>
    <cellStyle name="TextItalic" xfId="14"/>
    <cellStyle name="TextNormal" xfId="15"/>
    <cellStyle name="TitleNormal" xfId="16"/>
    <cellStyle name="Total" xfId="17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FA4040"/>
      <rgbColor rgb="00FFFFEB"/>
      <rgbColor rgb="00EEEEEE"/>
      <rgbColor rgb="00F0F0DC"/>
      <rgbColor rgb="00993366"/>
      <rgbColor rgb="00F5F5E1"/>
      <rgbColor rgb="0000408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wrap="none" lIns="18288" tIns="0" rIns="0" bIns="0" upright="1">
        <a:spAutoFit/>
      </a:bodyPr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wrap="none" lIns="18288" tIns="0" rIns="0" bIns="0" upright="1">
        <a:spAutoFit/>
      </a:bodyPr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5:IU120"/>
  <sheetViews>
    <sheetView showGridLines="0" topLeftCell="A15" workbookViewId="0">
      <selection activeCell="C32" sqref="C32"/>
    </sheetView>
  </sheetViews>
  <sheetFormatPr defaultRowHeight="11.25" x14ac:dyDescent="0.2"/>
  <cols>
    <col min="1" max="1" width="45.85546875" customWidth="1"/>
    <col min="2" max="7" width="14.85546875" customWidth="1"/>
  </cols>
  <sheetData>
    <row r="5" spans="1:255" ht="15.75" x14ac:dyDescent="0.2">
      <c r="A5" s="1"/>
    </row>
    <row r="7" spans="1:255" x14ac:dyDescent="0.2">
      <c r="A7" s="2"/>
      <c r="B7" s="3"/>
      <c r="D7" s="4"/>
      <c r="E7" s="3"/>
    </row>
    <row r="8" spans="1:255" x14ac:dyDescent="0.2">
      <c r="A8" s="4"/>
      <c r="B8" s="3"/>
      <c r="D8" s="4"/>
      <c r="E8" s="3"/>
    </row>
    <row r="9" spans="1:255" x14ac:dyDescent="0.2">
      <c r="A9" s="4"/>
      <c r="B9" s="3"/>
      <c r="D9" s="4"/>
      <c r="E9" s="3"/>
    </row>
    <row r="10" spans="1:255" x14ac:dyDescent="0.2">
      <c r="A10" s="4"/>
      <c r="B10" s="3"/>
      <c r="D10" s="4"/>
      <c r="E10" s="3"/>
      <c r="F10" s="5"/>
    </row>
    <row r="11" spans="1:255" x14ac:dyDescent="0.2">
      <c r="A11" s="4"/>
      <c r="B11" s="3"/>
      <c r="D11" s="4"/>
      <c r="E11" s="6"/>
      <c r="F11" s="6"/>
    </row>
    <row r="14" spans="1:255" x14ac:dyDescent="0.2"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</row>
    <row r="27" hidden="1" x14ac:dyDescent="0.2"/>
    <row r="28" hidden="1" x14ac:dyDescent="0.2"/>
    <row r="34" spans="1:7" ht="12.75" x14ac:dyDescent="0.2">
      <c r="A34" s="36" t="s">
        <v>37</v>
      </c>
      <c r="B34" s="31">
        <f>DCF!B20/DCF!B8</f>
        <v>0.22210905846168222</v>
      </c>
      <c r="C34" s="31">
        <f>DCF!C20/DCF!C8</f>
        <v>0.21252272029482666</v>
      </c>
      <c r="D34" s="31">
        <f>DCF!D20/DCF!D8</f>
        <v>0.22182985695580426</v>
      </c>
      <c r="E34" s="31">
        <f>DCF!E20/DCF!E8</f>
        <v>0.22907889871933246</v>
      </c>
      <c r="F34" s="31">
        <f>DCF!F20/DCF!F8</f>
        <v>0.21606991798100714</v>
      </c>
      <c r="G34" s="31">
        <f>DCF!G20/DCF!G8</f>
        <v>0.22679971467959853</v>
      </c>
    </row>
    <row r="35" spans="1:7" ht="12.75" x14ac:dyDescent="0.2">
      <c r="A35" s="29"/>
      <c r="B35" s="29"/>
      <c r="C35" s="29"/>
      <c r="D35" s="29"/>
      <c r="E35" s="29"/>
      <c r="F35" s="29"/>
      <c r="G35" s="29"/>
    </row>
    <row r="36" spans="1:7" ht="12.75" x14ac:dyDescent="0.2">
      <c r="A36" s="29" t="s">
        <v>9</v>
      </c>
      <c r="B36" s="30">
        <v>-146.9</v>
      </c>
      <c r="C36" s="30">
        <v>-152.1</v>
      </c>
      <c r="D36" s="30">
        <v>-153.5</v>
      </c>
      <c r="E36" s="30">
        <v>-129.80000000000001</v>
      </c>
      <c r="F36" s="30">
        <v>-140.1</v>
      </c>
      <c r="G36" s="30">
        <v>-161.5</v>
      </c>
    </row>
    <row r="37" spans="1:7" ht="12.75" x14ac:dyDescent="0.2">
      <c r="A37" s="37" t="s">
        <v>35</v>
      </c>
      <c r="B37" s="23"/>
      <c r="C37" s="35">
        <f>(C36-B36)/B36</f>
        <v>3.5398230088495498E-2</v>
      </c>
      <c r="D37" s="34">
        <f>(D36-C36)/C36</f>
        <v>9.2044707429323191E-3</v>
      </c>
      <c r="E37" s="34">
        <f>(E36-D36)/D36</f>
        <v>-0.15439739413680775</v>
      </c>
      <c r="F37" s="34">
        <f>(F36-E36)/E36</f>
        <v>7.9352850539291073E-2</v>
      </c>
      <c r="G37" s="34">
        <f>(G36-F36)/F36</f>
        <v>0.15274803711634552</v>
      </c>
    </row>
    <row r="38" spans="1:7" ht="12.75" x14ac:dyDescent="0.2">
      <c r="A38" s="29" t="s">
        <v>38</v>
      </c>
      <c r="B38" s="30">
        <v>8.0210000000000008</v>
      </c>
      <c r="C38" s="30">
        <v>7.9969999999999999</v>
      </c>
      <c r="D38" s="30">
        <v>4.0970000000000004</v>
      </c>
      <c r="E38" s="30">
        <v>2.4289999999999998</v>
      </c>
      <c r="F38" s="30">
        <v>2.5379999999999998</v>
      </c>
      <c r="G38" s="30">
        <v>9.7260000000000009</v>
      </c>
    </row>
    <row r="39" spans="1:7" ht="12.75" x14ac:dyDescent="0.2">
      <c r="A39" s="28" t="s">
        <v>39</v>
      </c>
      <c r="B39" s="32">
        <v>-138.80000000000001</v>
      </c>
      <c r="C39" s="32">
        <v>-144.1</v>
      </c>
      <c r="D39" s="32">
        <v>-149.4</v>
      </c>
      <c r="E39" s="32">
        <v>-127.4</v>
      </c>
      <c r="F39" s="32">
        <v>-137.6</v>
      </c>
      <c r="G39" s="32">
        <v>-151.80000000000001</v>
      </c>
    </row>
    <row r="40" spans="1:7" ht="13.5" thickBot="1" x14ac:dyDescent="0.25">
      <c r="A40" s="39"/>
      <c r="B40" s="39"/>
      <c r="C40" s="39"/>
      <c r="D40" s="39"/>
      <c r="E40" s="39"/>
      <c r="F40" s="39"/>
      <c r="G40" s="39"/>
    </row>
    <row r="41" spans="1:7" ht="12.75" hidden="1" x14ac:dyDescent="0.2">
      <c r="A41" s="29" t="s">
        <v>10</v>
      </c>
      <c r="B41" s="30" t="s">
        <v>4</v>
      </c>
      <c r="C41" s="30" t="s">
        <v>4</v>
      </c>
      <c r="D41" s="30" t="s">
        <v>4</v>
      </c>
      <c r="E41" s="30" t="s">
        <v>4</v>
      </c>
      <c r="F41" s="30">
        <v>0.36199999999999999</v>
      </c>
      <c r="G41" s="30">
        <v>0</v>
      </c>
    </row>
    <row r="42" spans="1:7" ht="12.75" hidden="1" x14ac:dyDescent="0.2">
      <c r="A42" s="29" t="s">
        <v>11</v>
      </c>
      <c r="B42" s="30">
        <v>-3.8</v>
      </c>
      <c r="C42" s="30">
        <v>-0.2</v>
      </c>
      <c r="D42" s="30">
        <v>-0.2</v>
      </c>
      <c r="E42" s="30">
        <v>-0.1</v>
      </c>
      <c r="F42" s="30">
        <v>-4.3</v>
      </c>
      <c r="G42" s="30">
        <v>5.3949999999999996</v>
      </c>
    </row>
    <row r="43" spans="1:7" ht="12.75" hidden="1" x14ac:dyDescent="0.2">
      <c r="A43" s="28" t="s">
        <v>12</v>
      </c>
      <c r="B43" s="32">
        <v>1587.865</v>
      </c>
      <c r="C43" s="32">
        <v>1552.9639999999999</v>
      </c>
      <c r="D43" s="32">
        <v>1658.289</v>
      </c>
      <c r="E43" s="32">
        <v>1927.579</v>
      </c>
      <c r="F43" s="32">
        <v>2109.7739999999999</v>
      </c>
      <c r="G43" s="32">
        <v>2385.788</v>
      </c>
    </row>
    <row r="44" spans="1:7" ht="12.75" hidden="1" x14ac:dyDescent="0.2">
      <c r="A44" s="29"/>
      <c r="B44" s="29"/>
      <c r="C44" s="29"/>
      <c r="D44" s="29"/>
      <c r="E44" s="29"/>
      <c r="F44" s="29"/>
      <c r="G44" s="29"/>
    </row>
    <row r="45" spans="1:7" ht="12.75" hidden="1" x14ac:dyDescent="0.2">
      <c r="A45" s="29" t="s">
        <v>13</v>
      </c>
      <c r="B45" s="30">
        <v>-51.8</v>
      </c>
      <c r="C45" s="30">
        <v>-9.1999999999999993</v>
      </c>
      <c r="D45" s="30">
        <v>-31.5</v>
      </c>
      <c r="E45" s="30">
        <v>-16.600000000000001</v>
      </c>
      <c r="F45" s="30">
        <v>-4.4000000000000004</v>
      </c>
      <c r="G45" s="30">
        <v>-3.4</v>
      </c>
    </row>
    <row r="46" spans="1:7" ht="12.75" hidden="1" x14ac:dyDescent="0.2">
      <c r="A46" s="29" t="s">
        <v>14</v>
      </c>
      <c r="B46" s="30">
        <v>-20.6</v>
      </c>
      <c r="C46" s="30" t="s">
        <v>4</v>
      </c>
      <c r="D46" s="30" t="s">
        <v>4</v>
      </c>
      <c r="E46" s="30" t="s">
        <v>4</v>
      </c>
      <c r="F46" s="30" t="s">
        <v>4</v>
      </c>
      <c r="G46" s="30" t="s">
        <v>4</v>
      </c>
    </row>
    <row r="47" spans="1:7" ht="12.75" hidden="1" x14ac:dyDescent="0.2">
      <c r="A47" s="29" t="s">
        <v>15</v>
      </c>
      <c r="B47" s="30" t="s">
        <v>4</v>
      </c>
      <c r="C47" s="30" t="s">
        <v>4</v>
      </c>
      <c r="D47" s="30" t="s">
        <v>4</v>
      </c>
      <c r="E47" s="30" t="s">
        <v>4</v>
      </c>
      <c r="F47" s="30" t="s">
        <v>4</v>
      </c>
      <c r="G47" s="30" t="s">
        <v>4</v>
      </c>
    </row>
    <row r="48" spans="1:7" ht="12.75" hidden="1" x14ac:dyDescent="0.2">
      <c r="A48" s="29" t="s">
        <v>16</v>
      </c>
      <c r="B48" s="30">
        <v>-50.3</v>
      </c>
      <c r="C48" s="30">
        <v>-50.5</v>
      </c>
      <c r="D48" s="30">
        <v>-131.80000000000001</v>
      </c>
      <c r="E48" s="30">
        <v>-113.8</v>
      </c>
      <c r="F48" s="30">
        <v>-188.3</v>
      </c>
      <c r="G48" s="30">
        <v>-210.5</v>
      </c>
    </row>
    <row r="49" spans="1:7" ht="12.75" hidden="1" x14ac:dyDescent="0.2">
      <c r="A49" s="29" t="s">
        <v>17</v>
      </c>
      <c r="B49" s="30">
        <v>2.6579999999999999</v>
      </c>
      <c r="C49" s="30" t="s">
        <v>4</v>
      </c>
      <c r="D49" s="30" t="s">
        <v>4</v>
      </c>
      <c r="E49" s="30" t="s">
        <v>4</v>
      </c>
      <c r="F49" s="30" t="s">
        <v>4</v>
      </c>
      <c r="G49" s="30" t="s">
        <v>4</v>
      </c>
    </row>
    <row r="50" spans="1:7" ht="12.75" hidden="1" x14ac:dyDescent="0.2">
      <c r="A50" s="29" t="s">
        <v>18</v>
      </c>
      <c r="B50" s="30">
        <v>-57.7</v>
      </c>
      <c r="C50" s="30">
        <v>-112.5</v>
      </c>
      <c r="D50" s="30" t="s">
        <v>4</v>
      </c>
      <c r="E50" s="30" t="s">
        <v>4</v>
      </c>
      <c r="F50" s="30" t="s">
        <v>4</v>
      </c>
      <c r="G50" s="30" t="s">
        <v>4</v>
      </c>
    </row>
    <row r="51" spans="1:7" ht="12.75" hidden="1" x14ac:dyDescent="0.2">
      <c r="A51" s="29" t="s">
        <v>19</v>
      </c>
      <c r="B51" s="30" t="s">
        <v>4</v>
      </c>
      <c r="C51" s="30" t="s">
        <v>4</v>
      </c>
      <c r="D51" s="30" t="s">
        <v>4</v>
      </c>
      <c r="E51" s="30" t="s">
        <v>4</v>
      </c>
      <c r="F51" s="30" t="s">
        <v>4</v>
      </c>
      <c r="G51" s="30" t="s">
        <v>4</v>
      </c>
    </row>
    <row r="52" spans="1:7" ht="13.5" thickTop="1" x14ac:dyDescent="0.2">
      <c r="A52" s="28" t="s">
        <v>20</v>
      </c>
      <c r="B52" s="32">
        <v>1410.0609999999999</v>
      </c>
      <c r="C52" s="32">
        <v>1380.7840000000001</v>
      </c>
      <c r="D52" s="32">
        <v>1494.9970000000001</v>
      </c>
      <c r="E52" s="32">
        <v>1797.2239999999999</v>
      </c>
      <c r="F52" s="32">
        <v>1917.0709999999999</v>
      </c>
      <c r="G52" s="32">
        <v>2171.864</v>
      </c>
    </row>
    <row r="53" spans="1:7" ht="12.75" x14ac:dyDescent="0.2">
      <c r="A53" s="29"/>
      <c r="B53" s="29"/>
      <c r="C53" s="29"/>
      <c r="D53" s="29"/>
      <c r="E53" s="29"/>
      <c r="F53" s="29"/>
      <c r="G53" s="29"/>
    </row>
    <row r="54" spans="1:7" ht="12.75" x14ac:dyDescent="0.2">
      <c r="A54" s="29" t="s">
        <v>21</v>
      </c>
      <c r="B54" s="30">
        <v>239.01</v>
      </c>
      <c r="C54" s="30">
        <v>234.03200000000001</v>
      </c>
      <c r="D54" s="30">
        <v>219.584</v>
      </c>
      <c r="E54" s="30">
        <v>314.40499999999997</v>
      </c>
      <c r="F54" s="30">
        <v>272.25400000000002</v>
      </c>
      <c r="G54" s="30">
        <v>310.077</v>
      </c>
    </row>
    <row r="55" spans="1:7" ht="12.75" x14ac:dyDescent="0.2">
      <c r="A55" s="28" t="s">
        <v>22</v>
      </c>
      <c r="B55" s="32">
        <v>1171.0509999999999</v>
      </c>
      <c r="C55" s="32">
        <v>1146.752</v>
      </c>
      <c r="D55" s="32">
        <v>1275.413</v>
      </c>
      <c r="E55" s="32">
        <v>1482.819</v>
      </c>
      <c r="F55" s="32">
        <v>1644.817</v>
      </c>
      <c r="G55" s="32">
        <v>1861.787</v>
      </c>
    </row>
    <row r="56" spans="1:7" ht="12.75" x14ac:dyDescent="0.2">
      <c r="A56" s="29"/>
      <c r="B56" s="29"/>
      <c r="C56" s="29"/>
      <c r="D56" s="29"/>
      <c r="E56" s="29"/>
      <c r="F56" s="29"/>
      <c r="G56" s="29"/>
    </row>
    <row r="57" spans="1:7" ht="12.75" x14ac:dyDescent="0.2">
      <c r="A57" s="29" t="s">
        <v>23</v>
      </c>
      <c r="B57" s="30" t="s">
        <v>4</v>
      </c>
      <c r="C57" s="30" t="s">
        <v>4</v>
      </c>
      <c r="D57" s="30" t="s">
        <v>4</v>
      </c>
      <c r="E57" s="30" t="s">
        <v>4</v>
      </c>
      <c r="F57" s="30" t="s">
        <v>4</v>
      </c>
      <c r="G57" s="30" t="s">
        <v>4</v>
      </c>
    </row>
    <row r="58" spans="1:7" ht="12.75" x14ac:dyDescent="0.2">
      <c r="A58" s="29" t="s">
        <v>24</v>
      </c>
      <c r="B58" s="30" t="s">
        <v>4</v>
      </c>
      <c r="C58" s="30" t="s">
        <v>4</v>
      </c>
      <c r="D58" s="30" t="s">
        <v>4</v>
      </c>
      <c r="E58" s="30" t="s">
        <v>4</v>
      </c>
      <c r="F58" s="30" t="s">
        <v>4</v>
      </c>
      <c r="G58" s="30" t="s">
        <v>4</v>
      </c>
    </row>
    <row r="59" spans="1:7" ht="12.75" x14ac:dyDescent="0.2">
      <c r="A59" s="28" t="s">
        <v>25</v>
      </c>
      <c r="B59" s="32">
        <v>1171.0509999999999</v>
      </c>
      <c r="C59" s="32">
        <v>1146.752</v>
      </c>
      <c r="D59" s="32">
        <v>1275.413</v>
      </c>
      <c r="E59" s="32">
        <v>1482.819</v>
      </c>
      <c r="F59" s="32">
        <v>1644.817</v>
      </c>
      <c r="G59" s="32">
        <v>1861.787</v>
      </c>
    </row>
    <row r="60" spans="1:7" ht="12.75" x14ac:dyDescent="0.2">
      <c r="A60" s="29"/>
      <c r="B60" s="29"/>
      <c r="C60" s="29"/>
      <c r="D60" s="29"/>
      <c r="E60" s="29"/>
      <c r="F60" s="29"/>
      <c r="G60" s="29"/>
    </row>
    <row r="61" spans="1:7" ht="12.75" x14ac:dyDescent="0.2">
      <c r="A61" s="29" t="s">
        <v>26</v>
      </c>
      <c r="B61" s="30">
        <v>6.5110000000000001</v>
      </c>
      <c r="C61" s="30">
        <v>2.94</v>
      </c>
      <c r="D61" s="30">
        <v>3.2949999999999999</v>
      </c>
      <c r="E61" s="30">
        <v>-5.3</v>
      </c>
      <c r="F61" s="30" t="s">
        <v>4</v>
      </c>
      <c r="G61" s="30" t="s">
        <v>4</v>
      </c>
    </row>
    <row r="62" spans="1:7" ht="12.75" x14ac:dyDescent="0.2">
      <c r="A62" s="28" t="s">
        <v>27</v>
      </c>
      <c r="B62" s="33">
        <v>1177.5619999999999</v>
      </c>
      <c r="C62" s="33">
        <v>1149.692</v>
      </c>
      <c r="D62" s="33">
        <v>1278.7080000000001</v>
      </c>
      <c r="E62" s="33">
        <v>1477.5119999999999</v>
      </c>
      <c r="F62" s="33">
        <v>1644.817</v>
      </c>
      <c r="G62" s="33">
        <v>1861.787</v>
      </c>
    </row>
    <row r="63" spans="1:7" x14ac:dyDescent="0.2">
      <c r="A63" s="9"/>
      <c r="B63" s="9"/>
      <c r="C63" s="9"/>
      <c r="D63" s="9"/>
      <c r="E63" s="9"/>
      <c r="F63" s="9"/>
      <c r="G63" s="9"/>
    </row>
    <row r="64" spans="1:7" x14ac:dyDescent="0.2">
      <c r="A64" s="9"/>
      <c r="B64" s="12"/>
      <c r="C64" s="12"/>
      <c r="D64" s="12"/>
      <c r="E64" s="12"/>
      <c r="F64" s="12"/>
      <c r="G64" s="12"/>
    </row>
    <row r="65" spans="1:7" x14ac:dyDescent="0.2">
      <c r="A65" s="9"/>
      <c r="B65" s="9"/>
      <c r="C65" s="9"/>
      <c r="D65" s="9"/>
      <c r="E65" s="9"/>
      <c r="F65" s="9"/>
      <c r="G65" s="9"/>
    </row>
    <row r="66" spans="1:7" x14ac:dyDescent="0.2">
      <c r="A66" s="8"/>
      <c r="B66" s="13"/>
      <c r="C66" s="13"/>
      <c r="D66" s="13"/>
      <c r="E66" s="13"/>
      <c r="F66" s="13"/>
      <c r="G66" s="13"/>
    </row>
    <row r="67" spans="1:7" x14ac:dyDescent="0.2">
      <c r="A67" s="8"/>
      <c r="B67" s="13"/>
      <c r="C67" s="13"/>
      <c r="D67" s="13"/>
      <c r="E67" s="13"/>
      <c r="F67" s="13"/>
      <c r="G67" s="13"/>
    </row>
    <row r="68" spans="1:7" x14ac:dyDescent="0.2">
      <c r="A68" s="9"/>
      <c r="B68" s="9"/>
      <c r="C68" s="9"/>
      <c r="D68" s="9"/>
      <c r="E68" s="9"/>
      <c r="F68" s="9"/>
      <c r="G68" s="9"/>
    </row>
    <row r="69" spans="1:7" x14ac:dyDescent="0.2">
      <c r="A69" s="8"/>
      <c r="B69" s="9"/>
      <c r="C69" s="9"/>
      <c r="D69" s="9"/>
      <c r="E69" s="9"/>
      <c r="F69" s="9"/>
      <c r="G69" s="9"/>
    </row>
    <row r="70" spans="1:7" x14ac:dyDescent="0.2">
      <c r="A70" s="9"/>
      <c r="B70" s="14"/>
      <c r="C70" s="14"/>
      <c r="D70" s="14"/>
      <c r="E70" s="14"/>
      <c r="F70" s="14"/>
      <c r="G70" s="14"/>
    </row>
    <row r="71" spans="1:7" x14ac:dyDescent="0.2">
      <c r="A71" s="9"/>
      <c r="B71" s="15"/>
      <c r="C71" s="15"/>
      <c r="D71" s="15"/>
      <c r="E71" s="15"/>
      <c r="F71" s="15"/>
      <c r="G71" s="15"/>
    </row>
    <row r="72" spans="1:7" x14ac:dyDescent="0.2">
      <c r="A72" s="9"/>
      <c r="B72" s="12"/>
      <c r="C72" s="12"/>
      <c r="D72" s="12"/>
      <c r="E72" s="12"/>
      <c r="F72" s="12"/>
      <c r="G72" s="12"/>
    </row>
    <row r="73" spans="1:7" x14ac:dyDescent="0.2">
      <c r="A73" s="9"/>
      <c r="B73" s="9"/>
      <c r="C73" s="9"/>
      <c r="D73" s="9"/>
      <c r="E73" s="9"/>
      <c r="F73" s="9"/>
      <c r="G73" s="9"/>
    </row>
    <row r="74" spans="1:7" x14ac:dyDescent="0.2">
      <c r="A74" s="9"/>
      <c r="B74" s="14"/>
      <c r="C74" s="14"/>
      <c r="D74" s="14"/>
      <c r="E74" s="14"/>
      <c r="F74" s="14"/>
      <c r="G74" s="14"/>
    </row>
    <row r="75" spans="1:7" x14ac:dyDescent="0.2">
      <c r="A75" s="9"/>
      <c r="B75" s="15"/>
      <c r="C75" s="15"/>
      <c r="D75" s="15"/>
      <c r="E75" s="15"/>
      <c r="F75" s="15"/>
      <c r="G75" s="15"/>
    </row>
    <row r="76" spans="1:7" x14ac:dyDescent="0.2">
      <c r="A76" s="9"/>
      <c r="B76" s="12"/>
      <c r="C76" s="12"/>
      <c r="D76" s="12"/>
      <c r="E76" s="12"/>
      <c r="F76" s="12"/>
      <c r="G76" s="12"/>
    </row>
    <row r="77" spans="1:7" x14ac:dyDescent="0.2">
      <c r="A77" s="9"/>
      <c r="B77" s="9"/>
      <c r="C77" s="9"/>
      <c r="D77" s="9"/>
      <c r="E77" s="9"/>
      <c r="F77" s="9"/>
      <c r="G77" s="9"/>
    </row>
    <row r="78" spans="1:7" x14ac:dyDescent="0.2">
      <c r="A78" s="9"/>
      <c r="B78" s="14"/>
      <c r="C78" s="14"/>
      <c r="D78" s="14"/>
      <c r="E78" s="14"/>
      <c r="F78" s="14"/>
      <c r="G78" s="14"/>
    </row>
    <row r="79" spans="1:7" x14ac:dyDescent="0.2">
      <c r="A79" s="9"/>
      <c r="B79" s="15"/>
      <c r="C79" s="15"/>
      <c r="D79" s="15"/>
      <c r="E79" s="15"/>
      <c r="F79" s="15"/>
      <c r="G79" s="15"/>
    </row>
    <row r="80" spans="1:7" x14ac:dyDescent="0.2">
      <c r="A80" s="9"/>
      <c r="B80" s="9"/>
      <c r="C80" s="9"/>
      <c r="D80" s="9"/>
      <c r="E80" s="9"/>
      <c r="F80" s="9"/>
      <c r="G80" s="9"/>
    </row>
    <row r="81" spans="1:7" x14ac:dyDescent="0.2">
      <c r="A81" s="9"/>
      <c r="B81" s="14"/>
      <c r="C81" s="14"/>
      <c r="D81" s="14"/>
      <c r="E81" s="14"/>
      <c r="F81" s="14"/>
      <c r="G81" s="14"/>
    </row>
    <row r="82" spans="1:7" x14ac:dyDescent="0.2">
      <c r="A82" s="9"/>
      <c r="B82" s="16"/>
      <c r="C82" s="16"/>
      <c r="D82" s="16"/>
      <c r="E82" s="16"/>
      <c r="F82" s="16"/>
      <c r="G82" s="16"/>
    </row>
    <row r="83" spans="1:7" x14ac:dyDescent="0.2">
      <c r="A83" s="9"/>
      <c r="B83" s="9"/>
      <c r="C83" s="9"/>
      <c r="D83" s="9"/>
      <c r="E83" s="9"/>
      <c r="F83" s="9"/>
      <c r="G83" s="9"/>
    </row>
    <row r="84" spans="1:7" x14ac:dyDescent="0.2">
      <c r="A84" s="9"/>
      <c r="B84" s="17"/>
      <c r="C84" s="17"/>
      <c r="D84" s="17"/>
      <c r="E84" s="17"/>
      <c r="F84" s="17"/>
      <c r="G84" s="17"/>
    </row>
    <row r="85" spans="1:7" x14ac:dyDescent="0.2">
      <c r="A85" s="9"/>
      <c r="B85" s="9"/>
      <c r="C85" s="9"/>
      <c r="D85" s="9"/>
      <c r="E85" s="9"/>
      <c r="F85" s="9"/>
      <c r="G85" s="9"/>
    </row>
    <row r="86" spans="1:7" x14ac:dyDescent="0.2">
      <c r="A86" s="8"/>
      <c r="B86" s="9"/>
      <c r="C86" s="9"/>
      <c r="D86" s="9"/>
      <c r="E86" s="9"/>
      <c r="F86" s="9"/>
      <c r="G86" s="9"/>
    </row>
    <row r="87" spans="1:7" x14ac:dyDescent="0.2">
      <c r="A87" s="9"/>
      <c r="B87" s="12"/>
      <c r="C87" s="12"/>
      <c r="D87" s="12"/>
      <c r="E87" s="12"/>
      <c r="F87" s="12"/>
      <c r="G87" s="12"/>
    </row>
    <row r="88" spans="1:7" x14ac:dyDescent="0.2">
      <c r="A88" s="9"/>
      <c r="B88" s="12"/>
      <c r="C88" s="12"/>
      <c r="D88" s="12"/>
      <c r="E88" s="12"/>
      <c r="F88" s="12"/>
      <c r="G88" s="12"/>
    </row>
    <row r="89" spans="1:7" x14ac:dyDescent="0.2">
      <c r="A89" s="9"/>
      <c r="B89" s="12"/>
      <c r="C89" s="12"/>
      <c r="D89" s="12"/>
      <c r="E89" s="12"/>
      <c r="F89" s="12"/>
      <c r="G89" s="12"/>
    </row>
    <row r="90" spans="1:7" x14ac:dyDescent="0.2">
      <c r="A90" s="9"/>
      <c r="B90" s="12"/>
      <c r="C90" s="12"/>
      <c r="D90" s="12"/>
      <c r="E90" s="12"/>
      <c r="F90" s="12"/>
      <c r="G90" s="12"/>
    </row>
    <row r="91" spans="1:7" x14ac:dyDescent="0.2">
      <c r="A91" s="9"/>
      <c r="B91" s="16"/>
      <c r="C91" s="16"/>
      <c r="D91" s="16"/>
      <c r="E91" s="16"/>
      <c r="F91" s="16"/>
      <c r="G91" s="16"/>
    </row>
    <row r="92" spans="1:7" x14ac:dyDescent="0.2">
      <c r="A92" s="9"/>
      <c r="B92" s="12"/>
      <c r="C92" s="12"/>
      <c r="D92" s="12"/>
      <c r="E92" s="12"/>
      <c r="F92" s="12"/>
      <c r="G92" s="12"/>
    </row>
    <row r="93" spans="1:7" x14ac:dyDescent="0.2">
      <c r="A93" s="9"/>
      <c r="B93" s="12"/>
      <c r="C93" s="12"/>
      <c r="D93" s="12"/>
      <c r="E93" s="12"/>
      <c r="F93" s="12"/>
      <c r="G93" s="12"/>
    </row>
    <row r="94" spans="1:7" x14ac:dyDescent="0.2">
      <c r="A94" s="9"/>
      <c r="B94" s="12"/>
      <c r="C94" s="12"/>
      <c r="D94" s="12"/>
      <c r="E94" s="12"/>
      <c r="F94" s="12"/>
      <c r="G94" s="12"/>
    </row>
    <row r="95" spans="1:7" x14ac:dyDescent="0.2">
      <c r="A95" s="9"/>
      <c r="B95" s="12"/>
      <c r="C95" s="12"/>
      <c r="D95" s="12"/>
      <c r="E95" s="12"/>
      <c r="F95" s="12"/>
      <c r="G95" s="12"/>
    </row>
    <row r="96" spans="1:7" x14ac:dyDescent="0.2">
      <c r="A96" s="9"/>
      <c r="B96" s="12"/>
      <c r="C96" s="12"/>
      <c r="D96" s="12"/>
      <c r="E96" s="12"/>
      <c r="F96" s="12"/>
      <c r="G96" s="12"/>
    </row>
    <row r="97" spans="1:7" x14ac:dyDescent="0.2">
      <c r="A97" s="9"/>
      <c r="B97" s="12"/>
      <c r="C97" s="12"/>
      <c r="D97" s="12"/>
      <c r="E97" s="12"/>
      <c r="F97" s="12"/>
      <c r="G97" s="12"/>
    </row>
    <row r="98" spans="1:7" x14ac:dyDescent="0.2">
      <c r="A98" s="9"/>
      <c r="B98" s="9"/>
      <c r="C98" s="9"/>
      <c r="D98" s="9"/>
      <c r="E98" s="9"/>
      <c r="F98" s="9"/>
      <c r="G98" s="9"/>
    </row>
    <row r="99" spans="1:7" x14ac:dyDescent="0.2">
      <c r="A99" s="9"/>
      <c r="B99" s="12"/>
      <c r="C99" s="12"/>
      <c r="D99" s="12"/>
      <c r="E99" s="12"/>
      <c r="F99" s="12"/>
      <c r="G99" s="12"/>
    </row>
    <row r="100" spans="1:7" x14ac:dyDescent="0.2">
      <c r="A100" s="9"/>
      <c r="B100" s="12"/>
      <c r="C100" s="12"/>
      <c r="D100" s="12"/>
      <c r="E100" s="12"/>
      <c r="F100" s="12"/>
      <c r="G100" s="12"/>
    </row>
    <row r="101" spans="1:7" x14ac:dyDescent="0.2">
      <c r="A101" s="9"/>
      <c r="B101" s="12"/>
      <c r="C101" s="12"/>
      <c r="D101" s="12"/>
      <c r="E101" s="12"/>
      <c r="F101" s="12"/>
      <c r="G101" s="12"/>
    </row>
    <row r="102" spans="1:7" x14ac:dyDescent="0.2">
      <c r="A102" s="9"/>
      <c r="B102" s="12"/>
      <c r="C102" s="12"/>
      <c r="D102" s="12"/>
      <c r="E102" s="12"/>
      <c r="F102" s="12"/>
      <c r="G102" s="12"/>
    </row>
    <row r="103" spans="1:7" x14ac:dyDescent="0.2">
      <c r="A103" s="9"/>
      <c r="B103" s="18"/>
      <c r="C103" s="18"/>
      <c r="D103" s="18"/>
      <c r="E103" s="18"/>
      <c r="F103" s="18"/>
      <c r="G103" s="18"/>
    </row>
    <row r="104" spans="1:7" x14ac:dyDescent="0.2">
      <c r="A104" s="9"/>
      <c r="B104" s="19"/>
      <c r="C104" s="19"/>
      <c r="D104" s="19"/>
      <c r="E104" s="19"/>
      <c r="F104" s="19"/>
      <c r="G104" s="19"/>
    </row>
    <row r="105" spans="1:7" x14ac:dyDescent="0.2">
      <c r="A105" s="9"/>
      <c r="B105" s="19"/>
      <c r="C105" s="19"/>
      <c r="D105" s="19"/>
      <c r="E105" s="19"/>
      <c r="F105" s="19"/>
      <c r="G105" s="19"/>
    </row>
    <row r="106" spans="1:7" x14ac:dyDescent="0.2">
      <c r="A106" s="9"/>
      <c r="B106" s="9"/>
      <c r="C106" s="9"/>
      <c r="D106" s="9"/>
      <c r="E106" s="9"/>
      <c r="F106" s="9"/>
      <c r="G106" s="9"/>
    </row>
    <row r="107" spans="1:7" x14ac:dyDescent="0.2">
      <c r="A107" s="8"/>
      <c r="B107" s="9"/>
      <c r="C107" s="9"/>
      <c r="D107" s="9"/>
      <c r="E107" s="9"/>
      <c r="F107" s="9"/>
      <c r="G107" s="9"/>
    </row>
    <row r="108" spans="1:7" x14ac:dyDescent="0.2">
      <c r="A108" s="9"/>
      <c r="B108" s="12"/>
      <c r="C108" s="12"/>
      <c r="D108" s="12"/>
      <c r="E108" s="12"/>
      <c r="F108" s="12"/>
      <c r="G108" s="12"/>
    </row>
    <row r="109" spans="1:7" x14ac:dyDescent="0.2">
      <c r="A109" s="9"/>
      <c r="B109" s="12"/>
      <c r="C109" s="12"/>
      <c r="D109" s="12"/>
      <c r="E109" s="12"/>
      <c r="F109" s="12"/>
      <c r="G109" s="12"/>
    </row>
    <row r="110" spans="1:7" x14ac:dyDescent="0.2">
      <c r="A110" s="9"/>
      <c r="B110" s="12"/>
      <c r="C110" s="12"/>
      <c r="D110" s="12"/>
      <c r="E110" s="12"/>
      <c r="F110" s="12"/>
      <c r="G110" s="12"/>
    </row>
    <row r="111" spans="1:7" x14ac:dyDescent="0.2">
      <c r="A111" s="9"/>
      <c r="B111" s="12"/>
      <c r="C111" s="12"/>
      <c r="D111" s="12"/>
      <c r="E111" s="12"/>
      <c r="F111" s="12"/>
      <c r="G111" s="12"/>
    </row>
    <row r="112" spans="1:7" x14ac:dyDescent="0.2">
      <c r="A112" s="9"/>
      <c r="B112" s="12"/>
      <c r="C112" s="12"/>
      <c r="D112" s="12"/>
      <c r="E112" s="12"/>
      <c r="F112" s="12"/>
      <c r="G112" s="12"/>
    </row>
    <row r="113" spans="1:7" x14ac:dyDescent="0.2">
      <c r="A113" s="9"/>
      <c r="B113" s="12"/>
      <c r="C113" s="12"/>
      <c r="D113" s="12"/>
      <c r="E113" s="12"/>
      <c r="F113" s="12"/>
      <c r="G113" s="12"/>
    </row>
    <row r="114" spans="1:7" x14ac:dyDescent="0.2">
      <c r="A114" s="9"/>
      <c r="B114" s="9"/>
      <c r="C114" s="9"/>
      <c r="D114" s="9"/>
      <c r="E114" s="9"/>
      <c r="F114" s="9"/>
      <c r="G114" s="9"/>
    </row>
    <row r="115" spans="1:7" x14ac:dyDescent="0.2">
      <c r="A115" s="9"/>
      <c r="B115" s="12"/>
      <c r="C115" s="12"/>
      <c r="D115" s="12"/>
      <c r="E115" s="12"/>
      <c r="F115" s="12"/>
      <c r="G115" s="12"/>
    </row>
    <row r="116" spans="1:7" x14ac:dyDescent="0.2">
      <c r="A116" s="8"/>
      <c r="B116" s="13"/>
      <c r="C116" s="13"/>
      <c r="D116" s="13"/>
      <c r="E116" s="13"/>
      <c r="F116" s="13"/>
      <c r="G116" s="13"/>
    </row>
    <row r="117" spans="1:7" x14ac:dyDescent="0.2">
      <c r="A117" s="9"/>
      <c r="B117" s="9"/>
      <c r="C117" s="9"/>
      <c r="D117" s="9"/>
      <c r="E117" s="9"/>
      <c r="F117" s="9"/>
      <c r="G117" s="9"/>
    </row>
    <row r="118" spans="1:7" x14ac:dyDescent="0.2">
      <c r="A118" s="10"/>
      <c r="B118" s="10"/>
      <c r="C118" s="10"/>
      <c r="D118" s="10"/>
      <c r="E118" s="10"/>
      <c r="F118" s="10"/>
      <c r="G118" s="10"/>
    </row>
    <row r="119" spans="1:7" x14ac:dyDescent="0.2">
      <c r="A119" s="20"/>
    </row>
    <row r="120" spans="1:7" x14ac:dyDescent="0.2">
      <c r="A120" s="21"/>
    </row>
  </sheetData>
  <phoneticPr fontId="0" type="noConversion"/>
  <pageMargins left="0.2" right="0.2" top="0.5" bottom="0.5" header="0.5" footer="0.5"/>
  <pageSetup fitToWidth="0" fitToHeight="0" orientation="landscape" horizontalDpi="0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L28"/>
  <sheetViews>
    <sheetView tabSelected="1" workbookViewId="0">
      <selection activeCell="A28" sqref="A28"/>
    </sheetView>
  </sheetViews>
  <sheetFormatPr defaultRowHeight="11.25" x14ac:dyDescent="0.2"/>
  <cols>
    <col min="1" max="1" width="24.7109375" bestFit="1" customWidth="1"/>
    <col min="2" max="5" width="10.28515625" bestFit="1" customWidth="1"/>
    <col min="6" max="7" width="11.28515625" bestFit="1" customWidth="1"/>
  </cols>
  <sheetData>
    <row r="4" spans="1:12" x14ac:dyDescent="0.2">
      <c r="A4" s="7" t="s">
        <v>0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 ht="25.5" x14ac:dyDescent="0.2">
      <c r="A5" s="24"/>
      <c r="B5" s="25" t="s">
        <v>34</v>
      </c>
      <c r="C5" s="26"/>
      <c r="D5" s="26"/>
      <c r="E5" s="26"/>
      <c r="F5" s="26"/>
      <c r="G5" s="26"/>
      <c r="H5" s="11"/>
      <c r="I5" s="11"/>
      <c r="J5" s="11"/>
      <c r="K5" s="11"/>
      <c r="L5" s="11"/>
    </row>
    <row r="6" spans="1:12" ht="12.75" x14ac:dyDescent="0.2">
      <c r="A6" s="27" t="s">
        <v>1</v>
      </c>
      <c r="B6" s="26">
        <v>2018</v>
      </c>
      <c r="C6" s="26">
        <v>2019</v>
      </c>
      <c r="D6" s="26">
        <v>2020</v>
      </c>
      <c r="E6" s="26">
        <v>2021</v>
      </c>
      <c r="F6" s="26">
        <v>2022</v>
      </c>
      <c r="G6" s="26">
        <v>2023</v>
      </c>
      <c r="H6" s="26" t="s">
        <v>29</v>
      </c>
      <c r="I6" s="26" t="s">
        <v>30</v>
      </c>
      <c r="J6" s="26" t="s">
        <v>31</v>
      </c>
      <c r="K6" s="26" t="s">
        <v>32</v>
      </c>
      <c r="L6" s="26" t="s">
        <v>33</v>
      </c>
    </row>
    <row r="7" spans="1:12" ht="12.75" x14ac:dyDescent="0.2">
      <c r="A7" s="28" t="s">
        <v>2</v>
      </c>
      <c r="B7" s="29"/>
      <c r="C7" s="29"/>
      <c r="D7" s="29"/>
      <c r="E7" s="29"/>
      <c r="F7" s="29"/>
      <c r="G7" s="29"/>
    </row>
    <row r="8" spans="1:12" ht="12.75" x14ac:dyDescent="0.2">
      <c r="A8" s="29" t="s">
        <v>3</v>
      </c>
      <c r="B8" s="40">
        <v>7791.0690000000004</v>
      </c>
      <c r="C8" s="40">
        <v>7986.2520000000004</v>
      </c>
      <c r="D8" s="40">
        <v>8149.7190000000001</v>
      </c>
      <c r="E8" s="40">
        <v>8971.3369999999995</v>
      </c>
      <c r="F8" s="40">
        <v>10419.294</v>
      </c>
      <c r="G8" s="40">
        <v>11164.992</v>
      </c>
    </row>
    <row r="9" spans="1:12" ht="12.75" x14ac:dyDescent="0.2">
      <c r="A9" s="36" t="s">
        <v>35</v>
      </c>
      <c r="B9" s="23"/>
      <c r="C9" s="31">
        <f>(C8-B8)/B8</f>
        <v>2.5052146245913107E-2</v>
      </c>
      <c r="D9" s="31">
        <f>(D8-C8)/C8</f>
        <v>2.0468550203524713E-2</v>
      </c>
      <c r="E9" s="31">
        <f>(E8-D8)/D8</f>
        <v>0.10081550050989482</v>
      </c>
      <c r="F9" s="31">
        <f>(F8-E8)/E8</f>
        <v>0.16139812828344319</v>
      </c>
      <c r="G9" s="31">
        <f>(G8-F8)/F8</f>
        <v>7.1568956591492705E-2</v>
      </c>
    </row>
    <row r="10" spans="1:12" ht="12.75" x14ac:dyDescent="0.2">
      <c r="A10" s="29" t="s">
        <v>5</v>
      </c>
      <c r="B10" s="41">
        <v>4204.4210000000003</v>
      </c>
      <c r="C10" s="41">
        <v>4363.7740000000003</v>
      </c>
      <c r="D10" s="41">
        <v>4446.241</v>
      </c>
      <c r="E10" s="41">
        <v>4917.5190000000002</v>
      </c>
      <c r="F10" s="41">
        <v>5920.7470000000003</v>
      </c>
      <c r="G10" s="41">
        <v>6166.6490000000003</v>
      </c>
    </row>
    <row r="11" spans="1:12" ht="12.75" x14ac:dyDescent="0.2">
      <c r="A11" s="29"/>
      <c r="B11" s="30"/>
      <c r="C11" s="30"/>
      <c r="D11" s="30"/>
      <c r="E11" s="30"/>
      <c r="F11" s="30"/>
      <c r="G11" s="30"/>
    </row>
    <row r="12" spans="1:12" ht="12.75" x14ac:dyDescent="0.2">
      <c r="A12" s="38" t="s">
        <v>6</v>
      </c>
      <c r="B12" s="42">
        <v>3586.6480000000001</v>
      </c>
      <c r="C12" s="42">
        <v>3622.4780000000001</v>
      </c>
      <c r="D12" s="42">
        <v>3703.4780000000001</v>
      </c>
      <c r="E12" s="42">
        <v>4053.8180000000002</v>
      </c>
      <c r="F12" s="42">
        <v>4498.5469999999996</v>
      </c>
      <c r="G12" s="42">
        <v>4998.3429999999998</v>
      </c>
    </row>
    <row r="13" spans="1:12" ht="12.75" x14ac:dyDescent="0.2">
      <c r="A13" s="36" t="s">
        <v>37</v>
      </c>
      <c r="B13" s="31">
        <f t="shared" ref="B13:G13" si="0">B12/B8</f>
        <v>0.46035377173530356</v>
      </c>
      <c r="C13" s="31">
        <f t="shared" si="0"/>
        <v>0.45358924311429188</v>
      </c>
      <c r="D13" s="31">
        <f t="shared" si="0"/>
        <v>0.45443014660996289</v>
      </c>
      <c r="E13" s="31">
        <f t="shared" si="0"/>
        <v>0.45186330643916289</v>
      </c>
      <c r="F13" s="31">
        <f t="shared" si="0"/>
        <v>0.43175161388094047</v>
      </c>
      <c r="G13" s="31">
        <f t="shared" si="0"/>
        <v>0.44767994459825855</v>
      </c>
    </row>
    <row r="14" spans="1:12" ht="12.75" hidden="1" x14ac:dyDescent="0.2">
      <c r="A14" s="29" t="s">
        <v>40</v>
      </c>
      <c r="B14" s="41">
        <v>1817.66</v>
      </c>
      <c r="C14" s="41">
        <v>1888.0719999999999</v>
      </c>
      <c r="D14" s="41">
        <v>1855.107</v>
      </c>
      <c r="E14" s="41">
        <v>1958.567</v>
      </c>
      <c r="F14" s="41">
        <v>2200.308</v>
      </c>
      <c r="G14" s="41">
        <v>2416.096</v>
      </c>
    </row>
    <row r="15" spans="1:12" ht="12.75" x14ac:dyDescent="0.2">
      <c r="A15" s="29" t="s">
        <v>40</v>
      </c>
      <c r="B15" s="41">
        <f t="shared" ref="B15:G15" si="1">B14+B19</f>
        <v>1856.181</v>
      </c>
      <c r="C15" s="41">
        <f t="shared" si="1"/>
        <v>1925.2179999999998</v>
      </c>
      <c r="D15" s="41">
        <f t="shared" si="1"/>
        <v>1895.627</v>
      </c>
      <c r="E15" s="41">
        <f t="shared" si="1"/>
        <v>1998.674</v>
      </c>
      <c r="F15" s="41">
        <f t="shared" si="1"/>
        <v>2247.2510000000002</v>
      </c>
      <c r="G15" s="41">
        <f t="shared" si="1"/>
        <v>2466.1260000000002</v>
      </c>
    </row>
    <row r="16" spans="1:12" ht="12.75" x14ac:dyDescent="0.2">
      <c r="A16" s="36" t="s">
        <v>37</v>
      </c>
      <c r="B16" s="31">
        <f t="shared" ref="B16:G16" si="2">B15/B8</f>
        <v>0.23824471327362137</v>
      </c>
      <c r="C16" s="31">
        <f t="shared" si="2"/>
        <v>0.24106652281946522</v>
      </c>
      <c r="D16" s="31">
        <f t="shared" si="2"/>
        <v>0.23260028965415863</v>
      </c>
      <c r="E16" s="31">
        <f t="shared" si="2"/>
        <v>0.22278440771983041</v>
      </c>
      <c r="F16" s="31">
        <f t="shared" si="2"/>
        <v>0.21568169589993336</v>
      </c>
      <c r="G16" s="31">
        <f t="shared" si="2"/>
        <v>0.22088022991866005</v>
      </c>
    </row>
    <row r="17" spans="1:7" ht="12.75" hidden="1" x14ac:dyDescent="0.2">
      <c r="A17" s="29" t="s">
        <v>7</v>
      </c>
      <c r="B17" s="30" t="s">
        <v>4</v>
      </c>
      <c r="C17" s="30" t="s">
        <v>4</v>
      </c>
      <c r="D17" s="30">
        <v>2.9430000000000001</v>
      </c>
      <c r="E17" s="30" t="s">
        <v>4</v>
      </c>
      <c r="F17" s="30" t="s">
        <v>4</v>
      </c>
      <c r="G17" s="30" t="s">
        <v>4</v>
      </c>
    </row>
    <row r="18" spans="1:7" ht="12.75" hidden="1" x14ac:dyDescent="0.2">
      <c r="A18" s="29" t="s">
        <v>8</v>
      </c>
      <c r="B18" s="41">
        <v>38.521000000000001</v>
      </c>
      <c r="C18" s="41">
        <v>37.146000000000001</v>
      </c>
      <c r="D18" s="41">
        <v>37.576999999999998</v>
      </c>
      <c r="E18" s="41">
        <v>40.106999999999999</v>
      </c>
      <c r="F18" s="41">
        <v>46.942999999999998</v>
      </c>
      <c r="G18" s="41">
        <v>50.03</v>
      </c>
    </row>
    <row r="19" spans="1:7" ht="12.75" hidden="1" x14ac:dyDescent="0.2">
      <c r="A19" s="29" t="s">
        <v>36</v>
      </c>
      <c r="B19" s="41">
        <f t="shared" ref="B19:G19" si="3">SUM(B17,B18)</f>
        <v>38.521000000000001</v>
      </c>
      <c r="C19" s="41">
        <f t="shared" si="3"/>
        <v>37.146000000000001</v>
      </c>
      <c r="D19" s="41">
        <f t="shared" si="3"/>
        <v>40.519999999999996</v>
      </c>
      <c r="E19" s="41">
        <f t="shared" si="3"/>
        <v>40.106999999999999</v>
      </c>
      <c r="F19" s="41">
        <f t="shared" si="3"/>
        <v>46.942999999999998</v>
      </c>
      <c r="G19" s="41">
        <f t="shared" si="3"/>
        <v>50.03</v>
      </c>
    </row>
    <row r="20" spans="1:7" ht="12.75" x14ac:dyDescent="0.2">
      <c r="A20" s="38" t="s">
        <v>28</v>
      </c>
      <c r="B20" s="43">
        <v>1730.4670000000001</v>
      </c>
      <c r="C20" s="43">
        <v>1697.26</v>
      </c>
      <c r="D20" s="43">
        <v>1807.8510000000001</v>
      </c>
      <c r="E20" s="43">
        <v>2055.1439999999998</v>
      </c>
      <c r="F20" s="43">
        <v>2251.2959999999998</v>
      </c>
      <c r="G20" s="43">
        <v>2532.2170000000001</v>
      </c>
    </row>
    <row r="21" spans="1:7" ht="12.75" x14ac:dyDescent="0.2">
      <c r="A21" s="36" t="s">
        <v>37</v>
      </c>
      <c r="B21" s="31">
        <f t="shared" ref="B21:G21" si="4">B20/B8</f>
        <v>0.22210905846168222</v>
      </c>
      <c r="C21" s="31">
        <f t="shared" si="4"/>
        <v>0.21252272029482666</v>
      </c>
      <c r="D21" s="31">
        <f t="shared" si="4"/>
        <v>0.22182985695580426</v>
      </c>
      <c r="E21" s="31">
        <f t="shared" si="4"/>
        <v>0.22907889871933246</v>
      </c>
      <c r="F21" s="31">
        <f t="shared" si="4"/>
        <v>0.21606991798100714</v>
      </c>
      <c r="G21" s="31">
        <f t="shared" si="4"/>
        <v>0.22679971467959853</v>
      </c>
    </row>
    <row r="22" spans="1:7" ht="12.75" x14ac:dyDescent="0.2">
      <c r="A22" s="29" t="s">
        <v>41</v>
      </c>
      <c r="B22" s="41">
        <f t="shared" ref="B22:G22" si="5">B20*(B23)</f>
        <v>294.17939000000001</v>
      </c>
      <c r="C22" s="41">
        <f t="shared" si="5"/>
        <v>286.83694000000003</v>
      </c>
      <c r="D22" s="41">
        <f t="shared" si="5"/>
        <v>265.754097</v>
      </c>
      <c r="E22" s="41">
        <f t="shared" si="5"/>
        <v>359.65019999999993</v>
      </c>
      <c r="F22" s="41">
        <f t="shared" si="5"/>
        <v>319.68403199999995</v>
      </c>
      <c r="G22" s="41">
        <f t="shared" si="5"/>
        <v>362.10703100000001</v>
      </c>
    </row>
    <row r="23" spans="1:7" ht="12.75" x14ac:dyDescent="0.2">
      <c r="A23" s="36" t="s">
        <v>42</v>
      </c>
      <c r="B23" s="31">
        <v>0.17</v>
      </c>
      <c r="C23" s="31">
        <v>0.16900000000000001</v>
      </c>
      <c r="D23" s="31">
        <v>0.14699999999999999</v>
      </c>
      <c r="E23" s="31">
        <v>0.17499999999999999</v>
      </c>
      <c r="F23" s="31">
        <v>0.14199999999999999</v>
      </c>
      <c r="G23" s="31">
        <v>0.14299999999999999</v>
      </c>
    </row>
    <row r="24" spans="1:7" ht="12.75" x14ac:dyDescent="0.2">
      <c r="A24" s="44" t="s">
        <v>43</v>
      </c>
      <c r="B24" s="45">
        <f t="shared" ref="B24:G24" si="6">B20-B22</f>
        <v>1436.2876100000001</v>
      </c>
      <c r="C24" s="45">
        <f t="shared" si="6"/>
        <v>1410.4230600000001</v>
      </c>
      <c r="D24" s="45">
        <f t="shared" si="6"/>
        <v>1542.0969030000001</v>
      </c>
      <c r="E24" s="45">
        <f t="shared" si="6"/>
        <v>1695.4937999999997</v>
      </c>
      <c r="F24" s="45">
        <f t="shared" si="6"/>
        <v>1931.6119679999999</v>
      </c>
      <c r="G24" s="45">
        <f t="shared" si="6"/>
        <v>2170.1099690000001</v>
      </c>
    </row>
    <row r="26" spans="1:7" x14ac:dyDescent="0.2">
      <c r="A26" t="s">
        <v>44</v>
      </c>
    </row>
    <row r="27" spans="1:7" x14ac:dyDescent="0.2">
      <c r="A27" t="s">
        <v>45</v>
      </c>
    </row>
    <row r="28" spans="1:7" x14ac:dyDescent="0.2">
      <c r="A28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0"/>
  <sheetViews>
    <sheetView showGridLines="0" workbookViewId="0">
      <selection activeCell="E8" sqref="E8"/>
    </sheetView>
  </sheetViews>
  <sheetFormatPr defaultRowHeight="11.25" x14ac:dyDescent="0.2"/>
  <cols>
    <col min="1" max="1" width="1.140625" customWidth="1"/>
    <col min="2" max="2" width="64.42578125" customWidth="1"/>
    <col min="3" max="3" width="1.5703125" customWidth="1"/>
    <col min="4" max="4" width="5.5703125" customWidth="1"/>
    <col min="5" max="6" width="16" customWidth="1"/>
  </cols>
  <sheetData>
    <row r="1" spans="2:6" x14ac:dyDescent="0.2">
      <c r="B1" s="46" t="s">
        <v>47</v>
      </c>
      <c r="C1" s="46"/>
      <c r="D1" s="50"/>
      <c r="E1" s="50"/>
      <c r="F1" s="50"/>
    </row>
    <row r="2" spans="2:6" x14ac:dyDescent="0.2">
      <c r="B2" s="46" t="s">
        <v>48</v>
      </c>
      <c r="C2" s="46"/>
      <c r="D2" s="50"/>
      <c r="E2" s="50"/>
      <c r="F2" s="50"/>
    </row>
    <row r="3" spans="2:6" x14ac:dyDescent="0.2">
      <c r="B3" s="47"/>
      <c r="C3" s="47"/>
      <c r="D3" s="51"/>
      <c r="E3" s="51"/>
      <c r="F3" s="51"/>
    </row>
    <row r="4" spans="2:6" ht="22.5" x14ac:dyDescent="0.2">
      <c r="B4" s="47" t="s">
        <v>49</v>
      </c>
      <c r="C4" s="47"/>
      <c r="D4" s="51"/>
      <c r="E4" s="51"/>
      <c r="F4" s="51"/>
    </row>
    <row r="5" spans="2:6" x14ac:dyDescent="0.2">
      <c r="B5" s="47"/>
      <c r="C5" s="47"/>
      <c r="D5" s="51"/>
      <c r="E5" s="51"/>
      <c r="F5" s="51"/>
    </row>
    <row r="6" spans="2:6" x14ac:dyDescent="0.2">
      <c r="B6" s="46" t="s">
        <v>50</v>
      </c>
      <c r="C6" s="46"/>
      <c r="D6" s="50"/>
      <c r="E6" s="50" t="s">
        <v>51</v>
      </c>
      <c r="F6" s="50" t="s">
        <v>52</v>
      </c>
    </row>
    <row r="7" spans="2:6" ht="12" thickBot="1" x14ac:dyDescent="0.25">
      <c r="B7" s="47"/>
      <c r="C7" s="47"/>
      <c r="D7" s="51"/>
      <c r="E7" s="51"/>
      <c r="F7" s="51"/>
    </row>
    <row r="8" spans="2:6" ht="23.25" thickBot="1" x14ac:dyDescent="0.25">
      <c r="B8" s="48" t="s">
        <v>53</v>
      </c>
      <c r="C8" s="49"/>
      <c r="D8" s="52"/>
      <c r="E8" s="52">
        <v>1</v>
      </c>
      <c r="F8" s="53" t="s">
        <v>54</v>
      </c>
    </row>
    <row r="9" spans="2:6" x14ac:dyDescent="0.2">
      <c r="B9" s="47"/>
      <c r="C9" s="47"/>
      <c r="D9" s="51"/>
      <c r="E9" s="51"/>
      <c r="F9" s="51"/>
    </row>
    <row r="10" spans="2:6" x14ac:dyDescent="0.2">
      <c r="B10" s="47"/>
      <c r="C10" s="47"/>
      <c r="D10" s="51"/>
      <c r="E10" s="51"/>
      <c r="F10" s="5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Income Statement</vt:lpstr>
      <vt:lpstr>DCF</vt:lpstr>
      <vt:lpstr>Sheet1</vt:lpstr>
      <vt:lpstr>'Income Statement'!Print_Titles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2024-03-28T02:52:02Z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8.6.2.281 (http://officewriter.softartisans.com)</vt:lpwstr>
  </property>
</Properties>
</file>