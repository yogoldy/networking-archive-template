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B&amp;G\Carolina Fund Stock Pitch\"/>
    </mc:Choice>
  </mc:AlternateContent>
  <xr:revisionPtr revIDLastSave="0" documentId="8_{08A4A412-8EA0-4900-A2D7-7AADA5ED4255}" xr6:coauthVersionLast="47" xr6:coauthVersionMax="47" xr10:uidLastSave="{00000000-0000-0000-0000-000000000000}"/>
  <bookViews>
    <workbookView xWindow="-108" yWindow="-108" windowWidth="23256" windowHeight="12456" xr2:uid="{39016876-B9AB-41A7-BB22-8F2FE84A7835}"/>
  </bookViews>
  <sheets>
    <sheet name="Pro Forma" sheetId="1" r:id="rId1"/>
    <sheet name="WACC" sheetId="2" r:id="rId2"/>
    <sheet name="Comparable Companies" sheetId="3" r:id="rId3"/>
    <sheet name="Precedent Transactio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1" l="1"/>
  <c r="N54" i="1"/>
  <c r="J52" i="1"/>
  <c r="H52" i="1"/>
  <c r="I49" i="1"/>
  <c r="J49" i="1"/>
  <c r="K49" i="1"/>
  <c r="K52" i="1" s="1"/>
  <c r="L49" i="1"/>
  <c r="I50" i="1"/>
  <c r="I52" i="1" s="1"/>
  <c r="J50" i="1"/>
  <c r="K50" i="1"/>
  <c r="L50" i="1"/>
  <c r="L52" i="1" s="1"/>
  <c r="I51" i="1"/>
  <c r="J51" i="1"/>
  <c r="K51" i="1"/>
  <c r="L51" i="1"/>
  <c r="H51" i="1"/>
  <c r="H50" i="1"/>
  <c r="H49" i="1"/>
  <c r="I48" i="1"/>
  <c r="J48" i="1"/>
  <c r="K48" i="1"/>
  <c r="L48" i="1"/>
  <c r="H48" i="1"/>
  <c r="G15" i="4"/>
  <c r="H15" i="4"/>
  <c r="I15" i="4"/>
  <c r="G16" i="4"/>
  <c r="H16" i="4"/>
  <c r="I16" i="4"/>
  <c r="G17" i="4"/>
  <c r="H17" i="4"/>
  <c r="I17" i="4"/>
  <c r="G18" i="4"/>
  <c r="H18" i="4"/>
  <c r="I18" i="4"/>
  <c r="F18" i="4"/>
  <c r="F17" i="4"/>
  <c r="F16" i="4"/>
  <c r="F15" i="4"/>
  <c r="B26" i="2"/>
  <c r="J15" i="3"/>
  <c r="J5" i="3"/>
  <c r="J6" i="3"/>
  <c r="J7" i="3"/>
  <c r="J8" i="3"/>
  <c r="J9" i="3"/>
  <c r="J4" i="3"/>
  <c r="J14" i="3" s="1"/>
  <c r="P6" i="2"/>
  <c r="O6" i="2" s="1"/>
  <c r="P7" i="2"/>
  <c r="N7" i="2" s="1"/>
  <c r="P8" i="2"/>
  <c r="N8" i="2" s="1"/>
  <c r="P9" i="2"/>
  <c r="O9" i="2" s="1"/>
  <c r="P10" i="2"/>
  <c r="O10" i="2" s="1"/>
  <c r="P5" i="2"/>
  <c r="O5" i="2" s="1"/>
  <c r="B21" i="2"/>
  <c r="D10" i="2"/>
  <c r="G10" i="2" s="1"/>
  <c r="D8" i="2"/>
  <c r="G8" i="2" s="1"/>
  <c r="N23" i="1"/>
  <c r="H22" i="1" s="1"/>
  <c r="H43" i="1"/>
  <c r="I43" i="1"/>
  <c r="J43" i="1"/>
  <c r="K43" i="1"/>
  <c r="L43" i="1"/>
  <c r="H40" i="1"/>
  <c r="I40" i="1"/>
  <c r="J40" i="1"/>
  <c r="K40" i="1"/>
  <c r="L40" i="1"/>
  <c r="H37" i="1"/>
  <c r="I37" i="1"/>
  <c r="J37" i="1"/>
  <c r="K37" i="1"/>
  <c r="L37" i="1"/>
  <c r="I44" i="1"/>
  <c r="J44" i="1"/>
  <c r="K44" i="1"/>
  <c r="L44" i="1"/>
  <c r="H44" i="1"/>
  <c r="I41" i="1"/>
  <c r="J41" i="1"/>
  <c r="K41" i="1"/>
  <c r="L41" i="1"/>
  <c r="H41" i="1"/>
  <c r="I38" i="1"/>
  <c r="J38" i="1"/>
  <c r="K38" i="1"/>
  <c r="L38" i="1"/>
  <c r="H38" i="1"/>
  <c r="B44" i="1"/>
  <c r="N44" i="1" s="1"/>
  <c r="N41" i="1"/>
  <c r="N38" i="1"/>
  <c r="D6" i="2"/>
  <c r="G6" i="2" s="1"/>
  <c r="D7" i="2"/>
  <c r="G7" i="2" s="1"/>
  <c r="D9" i="2"/>
  <c r="G9" i="2" s="1"/>
  <c r="G34" i="1"/>
  <c r="N32" i="1"/>
  <c r="C32" i="1"/>
  <c r="D32" i="1"/>
  <c r="E32" i="1"/>
  <c r="F32" i="1"/>
  <c r="G32" i="1"/>
  <c r="B32" i="1"/>
  <c r="G29" i="1"/>
  <c r="N13" i="1"/>
  <c r="J11" i="1"/>
  <c r="G28" i="1"/>
  <c r="C26" i="1"/>
  <c r="D26" i="1"/>
  <c r="E26" i="1"/>
  <c r="F26" i="1"/>
  <c r="G26" i="1"/>
  <c r="B26" i="1"/>
  <c r="D5" i="2"/>
  <c r="G5" i="2" s="1"/>
  <c r="I24" i="1"/>
  <c r="J24" i="1" s="1"/>
  <c r="H24" i="1"/>
  <c r="H25" i="1" s="1"/>
  <c r="N25" i="1"/>
  <c r="C25" i="1"/>
  <c r="D25" i="1"/>
  <c r="E25" i="1"/>
  <c r="F25" i="1"/>
  <c r="G25" i="1"/>
  <c r="B25" i="1"/>
  <c r="D23" i="1"/>
  <c r="E23" i="1"/>
  <c r="F23" i="1"/>
  <c r="G23" i="1"/>
  <c r="C23" i="1"/>
  <c r="C44" i="1"/>
  <c r="D44" i="1"/>
  <c r="E44" i="1"/>
  <c r="F44" i="1"/>
  <c r="G44" i="1"/>
  <c r="C41" i="1"/>
  <c r="D41" i="1"/>
  <c r="E41" i="1"/>
  <c r="F41" i="1"/>
  <c r="G41" i="1"/>
  <c r="B41" i="1"/>
  <c r="C38" i="1"/>
  <c r="D38" i="1"/>
  <c r="E38" i="1"/>
  <c r="F38" i="1"/>
  <c r="G38" i="1"/>
  <c r="B38" i="1"/>
  <c r="N5" i="2" l="1"/>
  <c r="N10" i="2"/>
  <c r="N9" i="2"/>
  <c r="N6" i="2"/>
  <c r="B24" i="2" s="1"/>
  <c r="O8" i="2"/>
  <c r="O7" i="2"/>
  <c r="B19" i="2" s="1"/>
  <c r="K5" i="2"/>
  <c r="H10" i="2" s="1"/>
  <c r="J12" i="3"/>
  <c r="J13" i="3"/>
  <c r="I22" i="1"/>
  <c r="H26" i="1"/>
  <c r="H23" i="1"/>
  <c r="K24" i="1"/>
  <c r="J25" i="1"/>
  <c r="I25" i="1"/>
  <c r="H7" i="2" l="1"/>
  <c r="H8" i="2"/>
  <c r="J22" i="1"/>
  <c r="I26" i="1"/>
  <c r="I23" i="1"/>
  <c r="H5" i="2"/>
  <c r="H9" i="2"/>
  <c r="H6" i="2"/>
  <c r="L24" i="1"/>
  <c r="L25" i="1" s="1"/>
  <c r="K25" i="1"/>
  <c r="I10" i="2" l="1"/>
  <c r="B14" i="2" s="1"/>
  <c r="B13" i="2" s="1"/>
  <c r="B28" i="2" s="1"/>
  <c r="N48" i="1" s="1"/>
  <c r="K22" i="1"/>
  <c r="J26" i="1"/>
  <c r="J23" i="1"/>
  <c r="F17" i="1"/>
  <c r="G17" i="1"/>
  <c r="E17" i="1"/>
  <c r="D17" i="1"/>
  <c r="C17" i="1"/>
  <c r="B17" i="1"/>
  <c r="G13" i="1"/>
  <c r="F13" i="1"/>
  <c r="E13" i="1"/>
  <c r="D13" i="1"/>
  <c r="C13" i="1"/>
  <c r="B13" i="1"/>
  <c r="G15" i="1"/>
  <c r="F15" i="1"/>
  <c r="E15" i="1"/>
  <c r="D15" i="1"/>
  <c r="C15" i="1"/>
  <c r="B15" i="1"/>
  <c r="G10" i="1"/>
  <c r="G11" i="1" s="1"/>
  <c r="G9" i="1"/>
  <c r="F9" i="1"/>
  <c r="E9" i="1"/>
  <c r="D9" i="1"/>
  <c r="C9" i="1"/>
  <c r="B9" i="1"/>
  <c r="H5" i="1"/>
  <c r="I6" i="1"/>
  <c r="J6" i="1"/>
  <c r="K6" i="1"/>
  <c r="L6" i="1"/>
  <c r="H6" i="1"/>
  <c r="G6" i="1"/>
  <c r="C3" i="1"/>
  <c r="D3" i="1" s="1"/>
  <c r="E3" i="1" s="1"/>
  <c r="F3" i="1" s="1"/>
  <c r="G3" i="1" s="1"/>
  <c r="F10" i="1"/>
  <c r="F19" i="1" s="1"/>
  <c r="E10" i="1"/>
  <c r="D10" i="1"/>
  <c r="D11" i="1" s="1"/>
  <c r="C10" i="1"/>
  <c r="B10" i="1"/>
  <c r="B19" i="1" s="1"/>
  <c r="F6" i="1"/>
  <c r="E6" i="1"/>
  <c r="D6" i="1"/>
  <c r="C6" i="1"/>
  <c r="J55" i="1" l="1"/>
  <c r="H55" i="1"/>
  <c r="J58" i="1"/>
  <c r="L58" i="1"/>
  <c r="I58" i="1"/>
  <c r="K55" i="1"/>
  <c r="H58" i="1"/>
  <c r="O51" i="1"/>
  <c r="L55" i="1" s="1"/>
  <c r="K58" i="1"/>
  <c r="I55" i="1"/>
  <c r="L22" i="1"/>
  <c r="K26" i="1"/>
  <c r="K23" i="1"/>
  <c r="H12" i="1"/>
  <c r="C19" i="1"/>
  <c r="N9" i="1"/>
  <c r="H8" i="1" s="1"/>
  <c r="H9" i="1" s="1"/>
  <c r="N15" i="1"/>
  <c r="H14" i="1" s="1"/>
  <c r="H15" i="1" s="1"/>
  <c r="E19" i="1"/>
  <c r="B20" i="1"/>
  <c r="B28" i="1"/>
  <c r="B29" i="1" s="1"/>
  <c r="F11" i="1"/>
  <c r="G19" i="1"/>
  <c r="C28" i="1"/>
  <c r="C20" i="1"/>
  <c r="E28" i="1"/>
  <c r="E20" i="1"/>
  <c r="F28" i="1"/>
  <c r="F20" i="1"/>
  <c r="G20" i="1"/>
  <c r="I5" i="1"/>
  <c r="B11" i="1"/>
  <c r="C11" i="1"/>
  <c r="D19" i="1"/>
  <c r="E11" i="1"/>
  <c r="H59" i="1" l="1"/>
  <c r="H56" i="1"/>
  <c r="L26" i="1"/>
  <c r="L23" i="1"/>
  <c r="B33" i="1"/>
  <c r="B34" i="1" s="1"/>
  <c r="D28" i="1"/>
  <c r="D20" i="1"/>
  <c r="H13" i="1"/>
  <c r="H17" i="1"/>
  <c r="I12" i="1"/>
  <c r="J5" i="1"/>
  <c r="I14" i="1"/>
  <c r="I15" i="1" s="1"/>
  <c r="I8" i="1"/>
  <c r="I9" i="1" s="1"/>
  <c r="C29" i="1"/>
  <c r="C33" i="1"/>
  <c r="C34" i="1" s="1"/>
  <c r="H10" i="1"/>
  <c r="G33" i="1"/>
  <c r="F29" i="1"/>
  <c r="F33" i="1"/>
  <c r="F34" i="1" s="1"/>
  <c r="E29" i="1"/>
  <c r="E33" i="1"/>
  <c r="E34" i="1" s="1"/>
  <c r="I13" i="1" l="1"/>
  <c r="I17" i="1"/>
  <c r="J12" i="1"/>
  <c r="K5" i="1"/>
  <c r="J14" i="1"/>
  <c r="J15" i="1" s="1"/>
  <c r="J8" i="1"/>
  <c r="J9" i="1" s="1"/>
  <c r="I10" i="1"/>
  <c r="H19" i="1"/>
  <c r="H11" i="1"/>
  <c r="D29" i="1"/>
  <c r="D33" i="1"/>
  <c r="D34" i="1" s="1"/>
  <c r="H20" i="1" l="1"/>
  <c r="H28" i="1"/>
  <c r="J13" i="1"/>
  <c r="J17" i="1"/>
  <c r="I19" i="1"/>
  <c r="I11" i="1"/>
  <c r="K14" i="1"/>
  <c r="K15" i="1" s="1"/>
  <c r="K12" i="1"/>
  <c r="L5" i="1"/>
  <c r="K8" i="1"/>
  <c r="K9" i="1" s="1"/>
  <c r="J10" i="1"/>
  <c r="H31" i="1" l="1"/>
  <c r="H32" i="1" s="1"/>
  <c r="H33" i="1"/>
  <c r="H34" i="1" s="1"/>
  <c r="H29" i="1"/>
  <c r="I20" i="1"/>
  <c r="I28" i="1"/>
  <c r="J19" i="1"/>
  <c r="K10" i="1"/>
  <c r="L12" i="1"/>
  <c r="L14" i="1"/>
  <c r="L15" i="1" s="1"/>
  <c r="L8" i="1"/>
  <c r="L9" i="1" s="1"/>
  <c r="K13" i="1"/>
  <c r="K17" i="1"/>
  <c r="I31" i="1" l="1"/>
  <c r="I32" i="1" s="1"/>
  <c r="I33" i="1"/>
  <c r="I34" i="1" s="1"/>
  <c r="I29" i="1"/>
  <c r="J20" i="1"/>
  <c r="J28" i="1"/>
  <c r="K19" i="1"/>
  <c r="K11" i="1"/>
  <c r="L10" i="1"/>
  <c r="L17" i="1"/>
  <c r="L13" i="1"/>
  <c r="J29" i="1" l="1"/>
  <c r="J31" i="1"/>
  <c r="J32" i="1" s="1"/>
  <c r="K20" i="1"/>
  <c r="K28" i="1"/>
  <c r="L19" i="1"/>
  <c r="L11" i="1"/>
  <c r="J33" i="1" l="1"/>
  <c r="J34" i="1" s="1"/>
  <c r="K33" i="1"/>
  <c r="K34" i="1" s="1"/>
  <c r="K31" i="1"/>
  <c r="K32" i="1" s="1"/>
  <c r="K29" i="1"/>
  <c r="L20" i="1"/>
  <c r="L28" i="1"/>
  <c r="L31" i="1" l="1"/>
  <c r="L32" i="1" s="1"/>
  <c r="L29" i="1"/>
  <c r="L33" i="1" l="1"/>
  <c r="L34" i="1" s="1"/>
</calcChain>
</file>

<file path=xl/sharedStrings.xml><?xml version="1.0" encoding="utf-8"?>
<sst xmlns="http://schemas.openxmlformats.org/spreadsheetml/2006/main" count="196" uniqueCount="151">
  <si>
    <t>Historical Period</t>
  </si>
  <si>
    <t>Projected Period</t>
  </si>
  <si>
    <t>2024E</t>
  </si>
  <si>
    <t>2025E</t>
  </si>
  <si>
    <t>2026E</t>
  </si>
  <si>
    <t>2027E</t>
  </si>
  <si>
    <t>2028E</t>
  </si>
  <si>
    <t>Assumptions</t>
  </si>
  <si>
    <t>Net Sales</t>
  </si>
  <si>
    <t>% Growth</t>
  </si>
  <si>
    <t>COGS</t>
  </si>
  <si>
    <t>Gross Profit</t>
  </si>
  <si>
    <t>% Margin</t>
  </si>
  <si>
    <t>Selling Expenses</t>
  </si>
  <si>
    <t>%Selling Expense</t>
  </si>
  <si>
    <t>G&amp;A</t>
  </si>
  <si>
    <t>%G&amp;A</t>
  </si>
  <si>
    <t>Other Operating Expenses</t>
  </si>
  <si>
    <t>Total Operating Expenses</t>
  </si>
  <si>
    <t>Operating Income</t>
  </si>
  <si>
    <t>Interest Expense</t>
  </si>
  <si>
    <t>Other Expense (Income)</t>
  </si>
  <si>
    <t>Total Other Expenses</t>
  </si>
  <si>
    <t>EBT</t>
  </si>
  <si>
    <t>Tax Expense</t>
  </si>
  <si>
    <t>Net Income</t>
  </si>
  <si>
    <t>Select Financial Data</t>
  </si>
  <si>
    <t>Capital Expenditures</t>
  </si>
  <si>
    <t>% of Net Sales</t>
  </si>
  <si>
    <t>Depreciation &amp; Amortization</t>
  </si>
  <si>
    <t>Change in Net Working Capital</t>
  </si>
  <si>
    <t>Int Exp Growth Rate</t>
  </si>
  <si>
    <t>D/E</t>
  </si>
  <si>
    <t>Conagra</t>
  </si>
  <si>
    <t>Tyson</t>
  </si>
  <si>
    <t>Kellanova</t>
  </si>
  <si>
    <t>%Income Expense</t>
  </si>
  <si>
    <t>Debt</t>
  </si>
  <si>
    <t>Equity</t>
  </si>
  <si>
    <t>Levered Beta</t>
  </si>
  <si>
    <t>Unlevered Beta</t>
  </si>
  <si>
    <t>Relevered Beta</t>
  </si>
  <si>
    <t>Tax Rate</t>
  </si>
  <si>
    <t>Avg D/E</t>
  </si>
  <si>
    <t>Dole</t>
  </si>
  <si>
    <t>Sprouts Farmers Market</t>
  </si>
  <si>
    <t>Avg. Beta</t>
  </si>
  <si>
    <t>Cost of Equity</t>
  </si>
  <si>
    <t>Beta</t>
  </si>
  <si>
    <t>Risk Free Rate (10 yr)</t>
  </si>
  <si>
    <t>MRP</t>
  </si>
  <si>
    <t>Cost of Debt</t>
  </si>
  <si>
    <t>Cd</t>
  </si>
  <si>
    <t>Weight of Equity</t>
  </si>
  <si>
    <t>D+E</t>
  </si>
  <si>
    <t>Hormel</t>
  </si>
  <si>
    <t>Company Comp Set</t>
  </si>
  <si>
    <t> </t>
  </si>
  <si>
    <t>Company Name</t>
  </si>
  <si>
    <t>Day Close Price Latest</t>
  </si>
  <si>
    <t>Shares Outstanding Latest</t>
  </si>
  <si>
    <t>Market Capitalization Latest</t>
  </si>
  <si>
    <t xml:space="preserve">LTM Net Debt </t>
  </si>
  <si>
    <t>Total Enterprise Value Latest</t>
  </si>
  <si>
    <t xml:space="preserve">LTM Total Revenue </t>
  </si>
  <si>
    <t xml:space="preserve">LTM EBITDA </t>
  </si>
  <si>
    <t xml:space="preserve">NTM EPS (Capital IQ) </t>
  </si>
  <si>
    <t>Conagra Brands, Inc. (NYSE:CAG)</t>
  </si>
  <si>
    <t>-</t>
  </si>
  <si>
    <t>Hormel Foods Corporation (NYSE:HRL)</t>
  </si>
  <si>
    <t>Kellanova (NYSE:K)</t>
  </si>
  <si>
    <t>Sprouts Farmers Market, Inc. (NasdaqGS:SFM)</t>
  </si>
  <si>
    <t>Dole plc (NYSE:DOLE)</t>
  </si>
  <si>
    <t>Tyson Foods, Inc. (NYSE:TSN)</t>
  </si>
  <si>
    <t>Summary Statistics</t>
  </si>
  <si>
    <t>High</t>
  </si>
  <si>
    <t>Low</t>
  </si>
  <si>
    <t>Mean</t>
  </si>
  <si>
    <t>Median</t>
  </si>
  <si>
    <t>EV/EBITDA</t>
  </si>
  <si>
    <t>Announced Date</t>
  </si>
  <si>
    <t>Transaction ID</t>
  </si>
  <si>
    <t>Target</t>
  </si>
  <si>
    <t>Buyer/Investor</t>
  </si>
  <si>
    <t>Seller</t>
  </si>
  <si>
    <t>Target TEV(USD mm)</t>
  </si>
  <si>
    <t>Size(USD mm)</t>
  </si>
  <si>
    <t>Implied TEV/LTM Revenue</t>
  </si>
  <si>
    <t>Implied TEV/LTM EBITDA</t>
  </si>
  <si>
    <t>Dec-21-2022</t>
  </si>
  <si>
    <t>IQTR1819613454</t>
  </si>
  <si>
    <t>Dole plc</t>
  </si>
  <si>
    <t>Pale Fire Capital SE</t>
  </si>
  <si>
    <t>Mar-23-2016</t>
  </si>
  <si>
    <t>IQTR329070074</t>
  </si>
  <si>
    <t>Premier Foods plc</t>
  </si>
  <si>
    <t>Nissin Foods Holdings Co.,Ltd.</t>
  </si>
  <si>
    <t>Warburg Pincus LLC</t>
  </si>
  <si>
    <t>Jul-23-2015</t>
  </si>
  <si>
    <t>IQTR307488134</t>
  </si>
  <si>
    <t>Kerry Group plc</t>
  </si>
  <si>
    <t>BlackRock, Inc.</t>
  </si>
  <si>
    <t>Max</t>
  </si>
  <si>
    <t>Min</t>
  </si>
  <si>
    <t>Comparable Precedant Transactions</t>
  </si>
  <si>
    <t>D/C</t>
  </si>
  <si>
    <t>E/C</t>
  </si>
  <si>
    <t>Weight of Debt</t>
  </si>
  <si>
    <t>WACC</t>
  </si>
  <si>
    <t>Dec-29-2022</t>
  </si>
  <si>
    <t>IQTR1820087880</t>
  </si>
  <si>
    <t>Ice Fish Farm AS</t>
  </si>
  <si>
    <t>Laxar eignarhaldsfélag ehf.</t>
  </si>
  <si>
    <t>NM</t>
  </si>
  <si>
    <t>Jun-22-2022</t>
  </si>
  <si>
    <t>IQTR1795499838</t>
  </si>
  <si>
    <t>Mowi ASA</t>
  </si>
  <si>
    <t>Owen Capital S.à r.l.</t>
  </si>
  <si>
    <t>Oct-28-2020</t>
  </si>
  <si>
    <t>IQTR693305586</t>
  </si>
  <si>
    <t>Cloetta AB (publ)</t>
  </si>
  <si>
    <t>Malfors Promotor A.B.</t>
  </si>
  <si>
    <t>Aug-19-2019</t>
  </si>
  <si>
    <t>IQTR635177196</t>
  </si>
  <si>
    <t>Brim hf.</t>
  </si>
  <si>
    <t>FISK Seafood ehf.</t>
  </si>
  <si>
    <t>Gildi - lífeyrissjódur</t>
  </si>
  <si>
    <t>Feb-14-2019</t>
  </si>
  <si>
    <t>IQTR606251018</t>
  </si>
  <si>
    <t>Arnarlax AS (nka:Icelandic Salmon AS)</t>
  </si>
  <si>
    <t>SalMar ASA</t>
  </si>
  <si>
    <t>Jul-10-2017</t>
  </si>
  <si>
    <t>IQTR581635122</t>
  </si>
  <si>
    <t>Scandi Standard AB (publ)</t>
  </si>
  <si>
    <t>Swedbank Robur AB, Swedbank Robur Sweden High Dividend</t>
  </si>
  <si>
    <t>May-19-2016</t>
  </si>
  <si>
    <t>IQTR340574166</t>
  </si>
  <si>
    <t>Grieg Seafood ASA</t>
  </si>
  <si>
    <t>$ in millions</t>
  </si>
  <si>
    <t>`</t>
  </si>
  <si>
    <t>Discounted Cash Flows</t>
  </si>
  <si>
    <t>CapEx</t>
  </si>
  <si>
    <t>Depreaciation</t>
  </si>
  <si>
    <t>NWC</t>
  </si>
  <si>
    <t>FCF</t>
  </si>
  <si>
    <t>PV</t>
  </si>
  <si>
    <t>Growth Rate</t>
  </si>
  <si>
    <t>Exit Multiple</t>
  </si>
  <si>
    <t>Terminal Value</t>
  </si>
  <si>
    <t>PV Growth</t>
  </si>
  <si>
    <t>Enterprise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</si>
</sst>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&quot;A&quot;"/>
    <numFmt numFmtId="165" formatCode="[$$]#,##0_);\([$$]#,##0\);&quot;–&quot;_);@_)"/>
    <numFmt numFmtId="166" formatCode="#,##0.0%_);\(#,##0.0%\);&quot;–&quot;_);@_)"/>
    <numFmt numFmtId="167" formatCode="#,##0_);\(#,##0\);&quot;–&quot;_);@_)"/>
    <numFmt numFmtId="168" formatCode="[$$-380A]\ #,##0.00;\-[$$-380A]\ #,##0.00"/>
    <numFmt numFmtId="169" formatCode="0.0%"/>
    <numFmt numFmtId="170" formatCode="0.0"/>
    <numFmt numFmtId="171" formatCode="&quot;$&quot;#,##0.00"/>
    <numFmt numFmtId="172" formatCode="0.00\x"/>
    <numFmt numFmtId="173" formatCode="#,##0.00%_);\(#,##0.00%\);&quot;–&quot;_);@_)"/>
    <numFmt numFmtId="174" formatCode="0.0\x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sz val="11"/>
      <color theme="1"/>
      <name val="MS PGothic"/>
      <family val="2"/>
    </font>
    <font>
      <sz val="10"/>
      <color theme="1"/>
      <name val="MS PGothic"/>
      <family val="2"/>
    </font>
    <font>
      <sz val="1"/>
      <color rgb="FFFFFFFF"/>
      <name val="Symbol"/>
      <family val="1"/>
      <charset val="2"/>
    </font>
    <font>
      <sz val="8"/>
      <name val="Arial"/>
      <family val="2"/>
    </font>
    <font>
      <sz val="8"/>
      <color rgb="FF000000"/>
      <name val="Arial"/>
      <family val="2"/>
    </font>
    <font>
      <sz val="11"/>
      <color theme="1"/>
      <name val="Verdana"/>
      <family val="2"/>
    </font>
    <font>
      <b/>
      <sz val="10"/>
      <color theme="0"/>
      <name val="Verdana"/>
      <family val="2"/>
    </font>
    <font>
      <i/>
      <sz val="10"/>
      <color theme="1"/>
      <name val="Verdana"/>
      <family val="2"/>
    </font>
    <font>
      <i/>
      <sz val="8"/>
      <color theme="1"/>
      <name val="Verdana"/>
      <family val="2"/>
    </font>
    <font>
      <b/>
      <sz val="10"/>
      <color theme="1"/>
      <name val="Verdana"/>
      <family val="2"/>
    </font>
    <font>
      <i/>
      <sz val="9"/>
      <color theme="1"/>
      <name val="Verdana"/>
      <family val="2"/>
    </font>
    <font>
      <b/>
      <sz val="8"/>
      <color rgb="FF000000"/>
      <name val="Verdana"/>
      <family val="2"/>
    </font>
    <font>
      <sz val="9"/>
      <color rgb="FF000000"/>
      <name val="Verdana"/>
      <family val="2"/>
    </font>
    <font>
      <b/>
      <sz val="8"/>
      <name val="Arial"/>
      <family val="2"/>
    </font>
    <font>
      <sz val="10"/>
      <color theme="0"/>
      <name val="MS PGothic"/>
      <family val="2"/>
    </font>
    <font>
      <sz val="11"/>
      <color theme="0"/>
      <name val="MS PGothic"/>
      <family val="2"/>
    </font>
    <font>
      <sz val="12"/>
      <color theme="1"/>
      <name val="Aptos Narrow"/>
      <family val="2"/>
      <scheme val="minor"/>
    </font>
    <font>
      <b/>
      <sz val="9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1E5162"/>
      </top>
      <bottom/>
      <diagonal/>
    </border>
    <border>
      <left/>
      <right/>
      <top style="double">
        <color rgb="FF1E51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170" fontId="0" fillId="0" borderId="0" xfId="0" applyNumberFormat="1"/>
    <xf numFmtId="10" fontId="0" fillId="0" borderId="0" xfId="0" applyNumberFormat="1"/>
    <xf numFmtId="0" fontId="2" fillId="0" borderId="0" xfId="0" applyFont="1"/>
    <xf numFmtId="165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quotePrefix="1" applyFont="1" applyAlignment="1">
      <alignment wrapText="1"/>
    </xf>
    <xf numFmtId="0" fontId="9" fillId="0" borderId="0" xfId="0" applyFont="1"/>
    <xf numFmtId="0" fontId="3" fillId="5" borderId="0" xfId="0" applyFont="1" applyFill="1"/>
    <xf numFmtId="164" fontId="10" fillId="5" borderId="0" xfId="0" applyNumberFormat="1" applyFont="1" applyFill="1" applyAlignment="1">
      <alignment horizontal="center"/>
    </xf>
    <xf numFmtId="164" fontId="10" fillId="7" borderId="0" xfId="0" applyNumberFormat="1" applyFont="1" applyFill="1" applyAlignment="1">
      <alignment horizontal="center"/>
    </xf>
    <xf numFmtId="164" fontId="10" fillId="8" borderId="0" xfId="0" applyNumberFormat="1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168" fontId="3" fillId="0" borderId="0" xfId="0" applyNumberFormat="1" applyFont="1"/>
    <xf numFmtId="166" fontId="9" fillId="0" borderId="0" xfId="0" applyNumberFormat="1" applyFont="1"/>
    <xf numFmtId="0" fontId="11" fillId="0" borderId="0" xfId="0" applyFont="1" applyAlignment="1">
      <alignment horizontal="left" indent="1"/>
    </xf>
    <xf numFmtId="166" fontId="3" fillId="2" borderId="0" xfId="0" applyNumberFormat="1" applyFont="1" applyFill="1"/>
    <xf numFmtId="166" fontId="12" fillId="0" borderId="0" xfId="0" applyNumberFormat="1" applyFont="1"/>
    <xf numFmtId="169" fontId="9" fillId="0" borderId="0" xfId="0" applyNumberFormat="1" applyFont="1"/>
    <xf numFmtId="167" fontId="3" fillId="0" borderId="0" xfId="0" applyNumberFormat="1" applyFont="1"/>
    <xf numFmtId="167" fontId="3" fillId="0" borderId="0" xfId="0" applyNumberFormat="1" applyFont="1" applyAlignment="1">
      <alignment horizontal="right"/>
    </xf>
    <xf numFmtId="0" fontId="13" fillId="0" borderId="1" xfId="0" applyFont="1" applyBorder="1"/>
    <xf numFmtId="165" fontId="13" fillId="0" borderId="1" xfId="0" applyNumberFormat="1" applyFont="1" applyBorder="1"/>
    <xf numFmtId="0" fontId="14" fillId="0" borderId="0" xfId="0" applyFont="1" applyAlignment="1">
      <alignment horizontal="left" indent="4"/>
    </xf>
    <xf numFmtId="0" fontId="13" fillId="0" borderId="2" xfId="0" applyFont="1" applyBorder="1"/>
    <xf numFmtId="165" fontId="13" fillId="0" borderId="2" xfId="0" applyNumberFormat="1" applyFont="1" applyBorder="1"/>
    <xf numFmtId="166" fontId="11" fillId="0" borderId="0" xfId="0" applyNumberFormat="1" applyFont="1"/>
    <xf numFmtId="167" fontId="13" fillId="0" borderId="2" xfId="0" applyNumberFormat="1" applyFont="1" applyBorder="1"/>
    <xf numFmtId="0" fontId="13" fillId="0" borderId="0" xfId="0" applyFont="1"/>
    <xf numFmtId="0" fontId="13" fillId="3" borderId="3" xfId="0" applyFont="1" applyFill="1" applyBorder="1"/>
    <xf numFmtId="165" fontId="13" fillId="3" borderId="4" xfId="0" applyNumberFormat="1" applyFont="1" applyFill="1" applyBorder="1" applyAlignment="1">
      <alignment horizontal="right"/>
    </xf>
    <xf numFmtId="165" fontId="13" fillId="3" borderId="8" xfId="0" applyNumberFormat="1" applyFont="1" applyFill="1" applyBorder="1" applyAlignment="1">
      <alignment horizontal="right"/>
    </xf>
    <xf numFmtId="165" fontId="13" fillId="3" borderId="10" xfId="0" applyNumberFormat="1" applyFont="1" applyFill="1" applyBorder="1" applyAlignment="1">
      <alignment horizontal="right"/>
    </xf>
    <xf numFmtId="0" fontId="11" fillId="3" borderId="5" xfId="0" applyFont="1" applyFill="1" applyBorder="1" applyAlignment="1">
      <alignment horizontal="left" indent="1"/>
    </xf>
    <xf numFmtId="166" fontId="11" fillId="3" borderId="0" xfId="0" applyNumberFormat="1" applyFont="1" applyFill="1"/>
    <xf numFmtId="166" fontId="11" fillId="3" borderId="9" xfId="0" applyNumberFormat="1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13" fillId="3" borderId="0" xfId="0" applyNumberFormat="1" applyFont="1" applyFill="1" applyAlignment="1">
      <alignment horizontal="right"/>
    </xf>
    <xf numFmtId="165" fontId="13" fillId="3" borderId="9" xfId="0" applyNumberFormat="1" applyFont="1" applyFill="1" applyBorder="1" applyAlignment="1">
      <alignment horizontal="right"/>
    </xf>
    <xf numFmtId="0" fontId="13" fillId="3" borderId="5" xfId="0" applyFont="1" applyFill="1" applyBorder="1"/>
    <xf numFmtId="0" fontId="11" fillId="3" borderId="6" xfId="0" applyFont="1" applyFill="1" applyBorder="1" applyAlignment="1">
      <alignment horizontal="left" indent="1"/>
    </xf>
    <xf numFmtId="166" fontId="11" fillId="3" borderId="7" xfId="0" applyNumberFormat="1" applyFont="1" applyFill="1" applyBorder="1"/>
    <xf numFmtId="166" fontId="11" fillId="3" borderId="12" xfId="0" applyNumberFormat="1" applyFont="1" applyFill="1" applyBorder="1"/>
    <xf numFmtId="0" fontId="15" fillId="0" borderId="0" xfId="0" applyFont="1" applyAlignment="1">
      <alignment wrapText="1"/>
    </xf>
    <xf numFmtId="0" fontId="15" fillId="6" borderId="0" xfId="0" applyFont="1" applyFill="1" applyAlignment="1">
      <alignment wrapText="1"/>
    </xf>
    <xf numFmtId="170" fontId="15" fillId="0" borderId="0" xfId="0" applyNumberFormat="1" applyFont="1" applyAlignment="1">
      <alignment wrapText="1"/>
    </xf>
    <xf numFmtId="170" fontId="15" fillId="6" borderId="0" xfId="0" applyNumberFormat="1" applyFont="1" applyFill="1" applyAlignment="1">
      <alignment wrapText="1"/>
    </xf>
    <xf numFmtId="170" fontId="16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0" fontId="8" fillId="0" borderId="0" xfId="0" applyFont="1"/>
    <xf numFmtId="0" fontId="17" fillId="0" borderId="0" xfId="0" applyFont="1"/>
    <xf numFmtId="172" fontId="8" fillId="0" borderId="0" xfId="0" applyNumberFormat="1" applyFont="1" applyAlignment="1">
      <alignment wrapText="1"/>
    </xf>
    <xf numFmtId="172" fontId="8" fillId="0" borderId="0" xfId="0" quotePrefix="1" applyNumberFormat="1" applyFont="1" applyAlignment="1">
      <alignment wrapText="1"/>
    </xf>
    <xf numFmtId="170" fontId="17" fillId="0" borderId="0" xfId="0" applyNumberFormat="1" applyFont="1" applyAlignment="1">
      <alignment wrapText="1"/>
    </xf>
    <xf numFmtId="170" fontId="17" fillId="0" borderId="0" xfId="0" applyNumberFormat="1" applyFont="1"/>
    <xf numFmtId="0" fontId="13" fillId="3" borderId="9" xfId="0" applyFont="1" applyFill="1" applyBorder="1"/>
    <xf numFmtId="167" fontId="3" fillId="0" borderId="13" xfId="0" applyNumberFormat="1" applyFont="1" applyBorder="1" applyAlignment="1">
      <alignment horizontal="right"/>
    </xf>
    <xf numFmtId="173" fontId="9" fillId="0" borderId="0" xfId="0" applyNumberFormat="1" applyFont="1"/>
    <xf numFmtId="167" fontId="3" fillId="0" borderId="11" xfId="0" applyNumberFormat="1" applyFont="1" applyBorder="1" applyAlignment="1">
      <alignment horizontal="right"/>
    </xf>
    <xf numFmtId="0" fontId="18" fillId="0" borderId="0" xfId="0" applyFont="1"/>
    <xf numFmtId="0" fontId="19" fillId="0" borderId="0" xfId="0" applyFont="1"/>
    <xf numFmtId="174" fontId="9" fillId="0" borderId="0" xfId="0" applyNumberFormat="1" applyFont="1"/>
    <xf numFmtId="167" fontId="13" fillId="0" borderId="0" xfId="0" applyNumberFormat="1" applyFont="1" applyAlignment="1">
      <alignment horizontal="right"/>
    </xf>
    <xf numFmtId="171" fontId="20" fillId="0" borderId="0" xfId="0" applyNumberFormat="1" applyFont="1"/>
    <xf numFmtId="10" fontId="20" fillId="0" borderId="0" xfId="1" applyNumberFormat="1" applyFont="1"/>
    <xf numFmtId="0" fontId="20" fillId="0" borderId="0" xfId="0" applyFont="1"/>
    <xf numFmtId="2" fontId="20" fillId="0" borderId="0" xfId="0" applyNumberFormat="1" applyFont="1"/>
    <xf numFmtId="10" fontId="20" fillId="0" borderId="0" xfId="0" applyNumberFormat="1" applyFont="1"/>
    <xf numFmtId="0" fontId="21" fillId="6" borderId="0" xfId="0" applyFont="1" applyFill="1" applyAlignment="1">
      <alignment wrapText="1"/>
    </xf>
    <xf numFmtId="0" fontId="9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64" fontId="10" fillId="5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5AC6-C933-4951-9821-0F891E56BCD4}">
  <dimension ref="A2:O95"/>
  <sheetViews>
    <sheetView showGridLines="0" tabSelected="1" topLeftCell="A17" zoomScale="80" zoomScaleNormal="80" workbookViewId="0">
      <selection activeCell="L45" sqref="L45"/>
    </sheetView>
  </sheetViews>
  <sheetFormatPr defaultRowHeight="13.2" x14ac:dyDescent="0.2"/>
  <cols>
    <col min="1" max="1" width="28.33203125" style="7" bestFit="1" customWidth="1"/>
    <col min="2" max="6" width="15.6640625" style="7" customWidth="1"/>
    <col min="7" max="7" width="16.5546875" style="7" customWidth="1"/>
    <col min="8" max="8" width="16.44140625" style="7" bestFit="1" customWidth="1"/>
    <col min="9" max="12" width="15.6640625" style="7" customWidth="1"/>
    <col min="13" max="13" width="2" style="7" customWidth="1"/>
    <col min="14" max="14" width="14.77734375" style="7" bestFit="1" customWidth="1"/>
    <col min="15" max="15" width="16.6640625" style="7" bestFit="1" customWidth="1"/>
    <col min="16" max="16384" width="8.88671875" style="7"/>
  </cols>
  <sheetData>
    <row r="2" spans="1:14" ht="13.8" x14ac:dyDescent="0.25">
      <c r="A2" s="13"/>
      <c r="B2" s="77" t="s">
        <v>0</v>
      </c>
      <c r="C2" s="77"/>
      <c r="D2" s="77"/>
      <c r="E2" s="77"/>
      <c r="F2" s="77"/>
      <c r="G2" s="77"/>
      <c r="H2" s="78" t="s">
        <v>1</v>
      </c>
      <c r="I2" s="78"/>
      <c r="J2" s="78"/>
      <c r="K2" s="78"/>
      <c r="L2" s="78"/>
      <c r="M2" s="13"/>
      <c r="N2" s="13"/>
    </row>
    <row r="3" spans="1:14" ht="13.8" x14ac:dyDescent="0.25">
      <c r="A3" s="14"/>
      <c r="B3" s="15">
        <v>43465</v>
      </c>
      <c r="C3" s="15">
        <f>EOMONTH(B3,12)</f>
        <v>43830</v>
      </c>
      <c r="D3" s="15">
        <f>EOMONTH(C3,12)</f>
        <v>44196</v>
      </c>
      <c r="E3" s="15">
        <f t="shared" ref="E3:G3" si="0">EOMONTH(D3,12)</f>
        <v>44561</v>
      </c>
      <c r="F3" s="15">
        <f t="shared" si="0"/>
        <v>44926</v>
      </c>
      <c r="G3" s="15">
        <f t="shared" si="0"/>
        <v>45291</v>
      </c>
      <c r="H3" s="16" t="s">
        <v>2</v>
      </c>
      <c r="I3" s="16" t="s">
        <v>3</v>
      </c>
      <c r="J3" s="16" t="s">
        <v>4</v>
      </c>
      <c r="K3" s="16" t="s">
        <v>5</v>
      </c>
      <c r="L3" s="16" t="s">
        <v>6</v>
      </c>
      <c r="M3" s="13"/>
      <c r="N3" s="17" t="s">
        <v>7</v>
      </c>
    </row>
    <row r="4" spans="1:14" ht="13.8" x14ac:dyDescent="0.25">
      <c r="A4" s="18"/>
      <c r="B4" s="18"/>
      <c r="C4" s="18"/>
      <c r="D4" s="18"/>
      <c r="E4" s="18"/>
      <c r="F4" s="18"/>
      <c r="G4" s="18"/>
      <c r="H4" s="18"/>
      <c r="I4" s="13"/>
      <c r="J4" s="13"/>
      <c r="K4" s="13"/>
      <c r="L4" s="13"/>
      <c r="M4" s="13"/>
      <c r="N4" s="13"/>
    </row>
    <row r="5" spans="1:14" ht="13.8" x14ac:dyDescent="0.25">
      <c r="A5" s="19" t="s">
        <v>8</v>
      </c>
      <c r="B5" s="6">
        <v>517107.75</v>
      </c>
      <c r="C5" s="6">
        <v>581368</v>
      </c>
      <c r="D5" s="6">
        <v>635515.75</v>
      </c>
      <c r="E5" s="6">
        <v>859151.25</v>
      </c>
      <c r="F5" s="6">
        <v>966573.75</v>
      </c>
      <c r="G5" s="6">
        <v>1049524.75</v>
      </c>
      <c r="H5" s="20">
        <f>G5*(1+$N$6)</f>
        <v>1102735.6548249999</v>
      </c>
      <c r="I5" s="20">
        <f>H5*(1+H6)</f>
        <v>1158644.3525246272</v>
      </c>
      <c r="J5" s="20">
        <f>I5*(1+I6)</f>
        <v>1217387.6211976258</v>
      </c>
      <c r="K5" s="20">
        <f>J5*(1+J6)</f>
        <v>1279109.1735923453</v>
      </c>
      <c r="L5" s="20">
        <f>K5*(1+K6)</f>
        <v>1343960.0086934771</v>
      </c>
      <c r="M5" s="13"/>
      <c r="N5" s="21"/>
    </row>
    <row r="6" spans="1:14" ht="13.8" x14ac:dyDescent="0.25">
      <c r="A6" s="22" t="s">
        <v>9</v>
      </c>
      <c r="B6" s="23"/>
      <c r="C6" s="24">
        <f>(C5-B5)/B5</f>
        <v>0.12426858812307492</v>
      </c>
      <c r="D6" s="24">
        <f>(D5-C5)/C5</f>
        <v>9.3138511235568516E-2</v>
      </c>
      <c r="E6" s="24">
        <f>(E5-D5)/D5</f>
        <v>0.35189607810664014</v>
      </c>
      <c r="F6" s="24">
        <f>(F5-E5)/E5</f>
        <v>0.12503328139253711</v>
      </c>
      <c r="G6" s="24">
        <f>(G5-F5)/F5</f>
        <v>8.5819628352207994E-2</v>
      </c>
      <c r="H6" s="24">
        <f>$N$6</f>
        <v>5.0700000000000002E-2</v>
      </c>
      <c r="I6" s="24">
        <f t="shared" ref="I6:L6" si="1">$N$6</f>
        <v>5.0700000000000002E-2</v>
      </c>
      <c r="J6" s="24">
        <f t="shared" si="1"/>
        <v>5.0700000000000002E-2</v>
      </c>
      <c r="K6" s="24">
        <f t="shared" si="1"/>
        <v>5.0700000000000002E-2</v>
      </c>
      <c r="L6" s="24">
        <f t="shared" si="1"/>
        <v>5.0700000000000002E-2</v>
      </c>
      <c r="M6" s="13"/>
      <c r="N6" s="25">
        <v>5.0700000000000002E-2</v>
      </c>
    </row>
    <row r="7" spans="1:14" ht="13.8" x14ac:dyDescent="0.25">
      <c r="A7" s="22"/>
      <c r="B7" s="26"/>
      <c r="C7" s="26"/>
      <c r="D7" s="26"/>
      <c r="E7" s="18"/>
      <c r="F7" s="18"/>
      <c r="G7" s="18"/>
      <c r="H7" s="18"/>
      <c r="I7" s="13"/>
      <c r="J7" s="13"/>
      <c r="K7" s="13"/>
      <c r="L7" s="13"/>
      <c r="M7" s="13"/>
      <c r="N7" s="25"/>
    </row>
    <row r="8" spans="1:14" ht="13.8" x14ac:dyDescent="0.25">
      <c r="A8" s="19" t="s">
        <v>10</v>
      </c>
      <c r="B8" s="27">
        <v>335327.5</v>
      </c>
      <c r="C8" s="27">
        <v>371373.5</v>
      </c>
      <c r="D8" s="27">
        <v>408661.5</v>
      </c>
      <c r="E8" s="27">
        <v>570860.25</v>
      </c>
      <c r="F8" s="27">
        <v>635757.5</v>
      </c>
      <c r="G8" s="27">
        <v>686300.75</v>
      </c>
      <c r="H8" s="27">
        <f>$N$9*H5</f>
        <v>717955.31775116769</v>
      </c>
      <c r="I8" s="27">
        <f>$N$9*I5</f>
        <v>754355.65236115188</v>
      </c>
      <c r="J8" s="27">
        <f>$N$9*J5</f>
        <v>792601.4839358622</v>
      </c>
      <c r="K8" s="27">
        <f>$N$9*K5</f>
        <v>832786.37917141034</v>
      </c>
      <c r="L8" s="27">
        <f>$N$9*L5</f>
        <v>875008.64859540085</v>
      </c>
      <c r="M8" s="13"/>
      <c r="N8" s="25"/>
    </row>
    <row r="9" spans="1:14" ht="13.8" x14ac:dyDescent="0.25">
      <c r="A9" s="18"/>
      <c r="B9" s="24">
        <f t="shared" ref="B9:L9" si="2">B8/B5</f>
        <v>0.64846736487704937</v>
      </c>
      <c r="C9" s="24">
        <f t="shared" si="2"/>
        <v>0.63879246879773222</v>
      </c>
      <c r="D9" s="24">
        <f t="shared" si="2"/>
        <v>0.64303913789705447</v>
      </c>
      <c r="E9" s="24">
        <f t="shared" si="2"/>
        <v>0.66444674322478148</v>
      </c>
      <c r="F9" s="24">
        <f t="shared" si="2"/>
        <v>0.65774339516255231</v>
      </c>
      <c r="G9" s="24">
        <f t="shared" si="2"/>
        <v>0.6539157366226952</v>
      </c>
      <c r="H9" s="24">
        <f t="shared" si="2"/>
        <v>0.65106747443031088</v>
      </c>
      <c r="I9" s="24">
        <f t="shared" si="2"/>
        <v>0.65106747443031088</v>
      </c>
      <c r="J9" s="24">
        <f t="shared" si="2"/>
        <v>0.65106747443031088</v>
      </c>
      <c r="K9" s="24">
        <f t="shared" si="2"/>
        <v>0.65106747443031088</v>
      </c>
      <c r="L9" s="24">
        <f t="shared" si="2"/>
        <v>0.65106747443031088</v>
      </c>
      <c r="M9" s="13"/>
      <c r="N9" s="25">
        <f>AVERAGE(B9:G9)</f>
        <v>0.65106747443031088</v>
      </c>
    </row>
    <row r="10" spans="1:14" ht="13.8" x14ac:dyDescent="0.25">
      <c r="A10" s="28" t="s">
        <v>11</v>
      </c>
      <c r="B10" s="29">
        <f t="shared" ref="B10:F10" si="3">B5-B8</f>
        <v>181780.25</v>
      </c>
      <c r="C10" s="29">
        <f t="shared" si="3"/>
        <v>209994.5</v>
      </c>
      <c r="D10" s="29">
        <f t="shared" si="3"/>
        <v>226854.25</v>
      </c>
      <c r="E10" s="29">
        <f t="shared" si="3"/>
        <v>288291</v>
      </c>
      <c r="F10" s="29">
        <f t="shared" si="3"/>
        <v>330816.25</v>
      </c>
      <c r="G10" s="29">
        <f t="shared" ref="G10:L10" si="4">G5-G8</f>
        <v>363224</v>
      </c>
      <c r="H10" s="29">
        <f t="shared" si="4"/>
        <v>384780.33707383217</v>
      </c>
      <c r="I10" s="29">
        <f t="shared" si="4"/>
        <v>404288.70016347535</v>
      </c>
      <c r="J10" s="29">
        <f t="shared" si="4"/>
        <v>424786.13726176356</v>
      </c>
      <c r="K10" s="29">
        <f t="shared" si="4"/>
        <v>446322.79442093498</v>
      </c>
      <c r="L10" s="29">
        <f t="shared" si="4"/>
        <v>468951.36009807629</v>
      </c>
      <c r="M10" s="13"/>
      <c r="N10" s="25"/>
    </row>
    <row r="11" spans="1:14" ht="13.8" x14ac:dyDescent="0.25">
      <c r="A11" s="30" t="s">
        <v>12</v>
      </c>
      <c r="B11" s="24">
        <f t="shared" ref="B11:E11" si="5">B10/B5</f>
        <v>0.35153263512295069</v>
      </c>
      <c r="C11" s="24">
        <f t="shared" si="5"/>
        <v>0.36120753120226773</v>
      </c>
      <c r="D11" s="24">
        <f t="shared" si="5"/>
        <v>0.35696086210294553</v>
      </c>
      <c r="E11" s="24">
        <f t="shared" si="5"/>
        <v>0.33555325677521858</v>
      </c>
      <c r="F11" s="24">
        <f t="shared" ref="F11:L11" si="6">F10/F5</f>
        <v>0.34225660483744774</v>
      </c>
      <c r="G11" s="24">
        <f t="shared" si="6"/>
        <v>0.3460842633773048</v>
      </c>
      <c r="H11" s="24">
        <f t="shared" si="6"/>
        <v>0.34893252556968912</v>
      </c>
      <c r="I11" s="24">
        <f t="shared" si="6"/>
        <v>0.34893252556968907</v>
      </c>
      <c r="J11" s="24">
        <f>J10/J5</f>
        <v>0.34893252556968912</v>
      </c>
      <c r="K11" s="24">
        <f t="shared" si="6"/>
        <v>0.34893252556968912</v>
      </c>
      <c r="L11" s="24">
        <f t="shared" si="6"/>
        <v>0.34893252556968907</v>
      </c>
      <c r="M11" s="13"/>
      <c r="N11" s="25"/>
    </row>
    <row r="12" spans="1:14" ht="13.8" x14ac:dyDescent="0.25">
      <c r="A12" s="19" t="s">
        <v>13</v>
      </c>
      <c r="B12" s="27">
        <v>103681</v>
      </c>
      <c r="C12" s="27">
        <v>123032.5</v>
      </c>
      <c r="D12" s="27">
        <v>132058.25</v>
      </c>
      <c r="E12" s="27">
        <v>155466.5</v>
      </c>
      <c r="F12" s="27">
        <v>176481</v>
      </c>
      <c r="G12" s="27">
        <v>182380</v>
      </c>
      <c r="H12" s="27">
        <f>H5*$N$13</f>
        <v>191626.66599999997</v>
      </c>
      <c r="I12" s="27">
        <f>I5*$N$13</f>
        <v>201342.13796619995</v>
      </c>
      <c r="J12" s="27">
        <f>J5*$N$13</f>
        <v>211550.18436108629</v>
      </c>
      <c r="K12" s="27">
        <f>K5*$N$13</f>
        <v>222275.77870819333</v>
      </c>
      <c r="L12" s="27">
        <f>L5*$N$13</f>
        <v>233545.16068869873</v>
      </c>
      <c r="M12" s="13"/>
      <c r="N12" s="25"/>
    </row>
    <row r="13" spans="1:14" ht="13.8" x14ac:dyDescent="0.25">
      <c r="A13" s="30" t="s">
        <v>14</v>
      </c>
      <c r="B13" s="24">
        <f t="shared" ref="B13:L13" si="7">B12/B5</f>
        <v>0.20050173295604254</v>
      </c>
      <c r="C13" s="24">
        <f t="shared" si="7"/>
        <v>0.21162585488021357</v>
      </c>
      <c r="D13" s="24">
        <f t="shared" si="7"/>
        <v>0.20779697434721325</v>
      </c>
      <c r="E13" s="24">
        <f t="shared" si="7"/>
        <v>0.18095358646105678</v>
      </c>
      <c r="F13" s="24">
        <f t="shared" si="7"/>
        <v>0.18258410183392629</v>
      </c>
      <c r="G13" s="24">
        <f t="shared" si="7"/>
        <v>0.17377389146849562</v>
      </c>
      <c r="H13" s="24">
        <f t="shared" si="7"/>
        <v>0.17377389146849562</v>
      </c>
      <c r="I13" s="24">
        <f t="shared" si="7"/>
        <v>0.17377389146849562</v>
      </c>
      <c r="J13" s="24">
        <f t="shared" si="7"/>
        <v>0.17377389146849562</v>
      </c>
      <c r="K13" s="24">
        <f t="shared" si="7"/>
        <v>0.17377389146849562</v>
      </c>
      <c r="L13" s="24">
        <f t="shared" si="7"/>
        <v>0.17377389146849562</v>
      </c>
      <c r="M13" s="13"/>
      <c r="N13" s="25">
        <f>G13</f>
        <v>0.17377389146849562</v>
      </c>
    </row>
    <row r="14" spans="1:14" ht="13.8" x14ac:dyDescent="0.25">
      <c r="A14" s="19" t="s">
        <v>15</v>
      </c>
      <c r="B14" s="27">
        <v>34175.75</v>
      </c>
      <c r="C14" s="27">
        <v>41898.75</v>
      </c>
      <c r="D14" s="27">
        <v>49381.5</v>
      </c>
      <c r="E14" s="27">
        <v>66419.5</v>
      </c>
      <c r="F14" s="27">
        <v>71283.75</v>
      </c>
      <c r="G14" s="27">
        <v>80406.75</v>
      </c>
      <c r="H14" s="27">
        <f>H5*$N$15</f>
        <v>81516.456037203432</v>
      </c>
      <c r="I14" s="27">
        <f t="shared" ref="I14:J14" si="8">I5*$N$15</f>
        <v>85649.340358289628</v>
      </c>
      <c r="J14" s="27">
        <f t="shared" si="8"/>
        <v>89991.76191445491</v>
      </c>
      <c r="K14" s="27">
        <f>K5*$N$15</f>
        <v>94554.344243517771</v>
      </c>
      <c r="L14" s="27">
        <f>L5*$N$15</f>
        <v>99348.24949666411</v>
      </c>
      <c r="M14" s="13"/>
      <c r="N14" s="25"/>
    </row>
    <row r="15" spans="1:14" ht="13.8" x14ac:dyDescent="0.25">
      <c r="A15" s="30" t="s">
        <v>16</v>
      </c>
      <c r="B15" s="24">
        <f t="shared" ref="B15:L15" si="9">B14/B5</f>
        <v>6.6090191067528961E-2</v>
      </c>
      <c r="C15" s="24">
        <f t="shared" si="9"/>
        <v>7.2069240137056054E-2</v>
      </c>
      <c r="D15" s="24">
        <f t="shared" si="9"/>
        <v>7.7703030963434033E-2</v>
      </c>
      <c r="E15" s="24">
        <f t="shared" si="9"/>
        <v>7.7308273717811613E-2</v>
      </c>
      <c r="F15" s="24">
        <f t="shared" si="9"/>
        <v>7.3748899139874216E-2</v>
      </c>
      <c r="G15" s="24">
        <f t="shared" si="9"/>
        <v>7.6612533434776073E-2</v>
      </c>
      <c r="H15" s="24">
        <f t="shared" si="9"/>
        <v>7.3922028076746818E-2</v>
      </c>
      <c r="I15" s="24">
        <f t="shared" si="9"/>
        <v>7.3922028076746818E-2</v>
      </c>
      <c r="J15" s="24">
        <f t="shared" si="9"/>
        <v>7.3922028076746818E-2</v>
      </c>
      <c r="K15" s="24">
        <f t="shared" si="9"/>
        <v>7.3922028076746818E-2</v>
      </c>
      <c r="L15" s="24">
        <f t="shared" si="9"/>
        <v>7.3922028076746818E-2</v>
      </c>
      <c r="M15" s="13"/>
      <c r="N15" s="25">
        <f>AVERAGE(B15:G15)</f>
        <v>7.3922028076746818E-2</v>
      </c>
    </row>
    <row r="16" spans="1:14" ht="13.8" x14ac:dyDescent="0.25">
      <c r="A16" s="19" t="s">
        <v>17</v>
      </c>
      <c r="B16" s="27">
        <v>0</v>
      </c>
      <c r="C16" s="27">
        <v>0</v>
      </c>
      <c r="D16" s="27">
        <v>6056.5</v>
      </c>
      <c r="E16" s="27">
        <v>-266.5</v>
      </c>
      <c r="F16" s="27">
        <v>0</v>
      </c>
      <c r="G16" s="27">
        <v>0</v>
      </c>
      <c r="H16" s="18"/>
      <c r="I16" s="13"/>
      <c r="J16" s="13"/>
      <c r="K16" s="13"/>
      <c r="L16" s="13"/>
      <c r="M16" s="13"/>
      <c r="N16" s="13"/>
    </row>
    <row r="17" spans="1:14" ht="13.8" x14ac:dyDescent="0.25">
      <c r="A17" s="28" t="s">
        <v>18</v>
      </c>
      <c r="B17" s="29">
        <f t="shared" ref="B17:L17" si="10">SUM(B12+B14)</f>
        <v>137856.75</v>
      </c>
      <c r="C17" s="29">
        <f t="shared" si="10"/>
        <v>164931.25</v>
      </c>
      <c r="D17" s="29">
        <f t="shared" si="10"/>
        <v>181439.75</v>
      </c>
      <c r="E17" s="29">
        <f t="shared" si="10"/>
        <v>221886</v>
      </c>
      <c r="F17" s="29">
        <f t="shared" si="10"/>
        <v>247764.75</v>
      </c>
      <c r="G17" s="29">
        <f t="shared" si="10"/>
        <v>262786.75</v>
      </c>
      <c r="H17" s="29">
        <f t="shared" si="10"/>
        <v>273143.1220372034</v>
      </c>
      <c r="I17" s="29">
        <f t="shared" si="10"/>
        <v>286991.47832448955</v>
      </c>
      <c r="J17" s="29">
        <f t="shared" si="10"/>
        <v>301541.94627554121</v>
      </c>
      <c r="K17" s="29">
        <f t="shared" si="10"/>
        <v>316830.12295171112</v>
      </c>
      <c r="L17" s="29">
        <f t="shared" si="10"/>
        <v>332893.41018536285</v>
      </c>
      <c r="M17" s="13"/>
      <c r="N17" s="13"/>
    </row>
    <row r="18" spans="1:14" ht="13.8" x14ac:dyDescent="0.25">
      <c r="A18" s="18"/>
      <c r="B18" s="18"/>
      <c r="C18" s="18"/>
      <c r="D18" s="18"/>
      <c r="E18" s="18"/>
      <c r="F18" s="18"/>
      <c r="G18" s="18"/>
      <c r="H18" s="18"/>
      <c r="I18" s="13"/>
      <c r="J18" s="13"/>
      <c r="K18" s="13"/>
      <c r="L18" s="13"/>
      <c r="M18" s="13"/>
      <c r="N18" s="13"/>
    </row>
    <row r="19" spans="1:14" ht="13.8" x14ac:dyDescent="0.25">
      <c r="A19" s="31" t="s">
        <v>19</v>
      </c>
      <c r="B19" s="32">
        <f t="shared" ref="B19:L19" si="11">B10-B17</f>
        <v>43923.5</v>
      </c>
      <c r="C19" s="32">
        <f t="shared" si="11"/>
        <v>45063.25</v>
      </c>
      <c r="D19" s="32">
        <f t="shared" si="11"/>
        <v>45414.5</v>
      </c>
      <c r="E19" s="32">
        <f t="shared" si="11"/>
        <v>66405</v>
      </c>
      <c r="F19" s="32">
        <f t="shared" si="11"/>
        <v>83051.5</v>
      </c>
      <c r="G19" s="32">
        <f t="shared" si="11"/>
        <v>100437.25</v>
      </c>
      <c r="H19" s="32">
        <f t="shared" si="11"/>
        <v>111637.21503662877</v>
      </c>
      <c r="I19" s="32">
        <f t="shared" si="11"/>
        <v>117297.2218389858</v>
      </c>
      <c r="J19" s="32">
        <f t="shared" si="11"/>
        <v>123244.19098622235</v>
      </c>
      <c r="K19" s="32">
        <f t="shared" si="11"/>
        <v>129492.67146922386</v>
      </c>
      <c r="L19" s="32">
        <f t="shared" si="11"/>
        <v>136057.94991271343</v>
      </c>
      <c r="M19" s="13"/>
      <c r="N19" s="13"/>
    </row>
    <row r="20" spans="1:14" ht="13.8" x14ac:dyDescent="0.25">
      <c r="A20" s="30" t="s">
        <v>12</v>
      </c>
      <c r="B20" s="33">
        <f t="shared" ref="B20:L20" si="12">B19/B5</f>
        <v>8.4940711099379188E-2</v>
      </c>
      <c r="C20" s="33">
        <f t="shared" si="12"/>
        <v>7.7512436184998146E-2</v>
      </c>
      <c r="D20" s="33">
        <f t="shared" si="12"/>
        <v>7.146085679229823E-2</v>
      </c>
      <c r="E20" s="33">
        <f t="shared" si="12"/>
        <v>7.7291396596350176E-2</v>
      </c>
      <c r="F20" s="33">
        <f t="shared" si="12"/>
        <v>8.5923603863647238E-2</v>
      </c>
      <c r="G20" s="33">
        <f t="shared" si="12"/>
        <v>9.5697838474033126E-2</v>
      </c>
      <c r="H20" s="33">
        <f>H19/H5</f>
        <v>0.10123660602444672</v>
      </c>
      <c r="I20" s="33">
        <f t="shared" si="12"/>
        <v>0.10123660602444669</v>
      </c>
      <c r="J20" s="33">
        <f t="shared" si="12"/>
        <v>0.10123660602444666</v>
      </c>
      <c r="K20" s="33">
        <f t="shared" si="12"/>
        <v>0.1012366060244467</v>
      </c>
      <c r="L20" s="33">
        <f t="shared" si="12"/>
        <v>0.10123660602444665</v>
      </c>
      <c r="M20" s="13"/>
      <c r="N20" s="13"/>
    </row>
    <row r="21" spans="1:14" ht="13.8" x14ac:dyDescent="0.25">
      <c r="A21" s="18"/>
      <c r="B21" s="18"/>
      <c r="C21" s="18"/>
      <c r="D21" s="18"/>
      <c r="E21" s="18"/>
      <c r="F21" s="18"/>
      <c r="G21" s="18"/>
      <c r="H21" s="18"/>
      <c r="I21" s="13"/>
      <c r="J21" s="13"/>
      <c r="K21" s="13"/>
      <c r="L21" s="13"/>
      <c r="M21" s="13"/>
      <c r="N21" s="13"/>
    </row>
    <row r="22" spans="1:14" ht="13.8" x14ac:dyDescent="0.25">
      <c r="A22" s="19" t="s">
        <v>20</v>
      </c>
      <c r="B22" s="27">
        <v>2287.25</v>
      </c>
      <c r="C22" s="27">
        <v>2481</v>
      </c>
      <c r="D22" s="27">
        <v>4506.75</v>
      </c>
      <c r="E22" s="27">
        <v>9243</v>
      </c>
      <c r="F22" s="27">
        <v>14531.75</v>
      </c>
      <c r="G22" s="27">
        <v>17295.75</v>
      </c>
      <c r="H22" s="26">
        <f>G22*(1+$N$23)</f>
        <v>20585.47443098732</v>
      </c>
      <c r="I22" s="26">
        <f>H22*(1+$N$23)</f>
        <v>24500.918291998481</v>
      </c>
      <c r="J22" s="26">
        <f>I22*(1+$N$23)</f>
        <v>29161.096051668428</v>
      </c>
      <c r="K22" s="26">
        <f>J22*(1+$N$23)</f>
        <v>34707.659231382604</v>
      </c>
      <c r="L22" s="26">
        <f>K22*(1+$N$23)</f>
        <v>41309.202067967424</v>
      </c>
      <c r="M22" s="13"/>
      <c r="N22" s="13"/>
    </row>
    <row r="23" spans="1:14" ht="13.8" x14ac:dyDescent="0.25">
      <c r="A23" s="30" t="s">
        <v>31</v>
      </c>
      <c r="B23" s="27"/>
      <c r="C23" s="33">
        <f t="shared" ref="C23:L23" si="13">(C22-B22)/B22</f>
        <v>8.4708711334572084E-2</v>
      </c>
      <c r="D23" s="33">
        <f t="shared" si="13"/>
        <v>0.81650544135429259</v>
      </c>
      <c r="E23" s="33">
        <f t="shared" si="13"/>
        <v>1.0509236145781329</v>
      </c>
      <c r="F23" s="33">
        <f t="shared" si="13"/>
        <v>0.5721897652277399</v>
      </c>
      <c r="G23" s="33">
        <f t="shared" si="13"/>
        <v>0.19020420802725069</v>
      </c>
      <c r="H23" s="33">
        <f t="shared" si="13"/>
        <v>0.19020420802725066</v>
      </c>
      <c r="I23" s="33">
        <f t="shared" si="13"/>
        <v>0.19020420802725063</v>
      </c>
      <c r="J23" s="33">
        <f t="shared" si="13"/>
        <v>0.19020420802725052</v>
      </c>
      <c r="K23" s="33">
        <f t="shared" si="13"/>
        <v>0.19020420802725055</v>
      </c>
      <c r="L23" s="33">
        <f t="shared" si="13"/>
        <v>0.19020420802725055</v>
      </c>
      <c r="M23" s="13"/>
      <c r="N23" s="21">
        <f>G23</f>
        <v>0.19020420802725069</v>
      </c>
    </row>
    <row r="24" spans="1:14" ht="13.8" x14ac:dyDescent="0.25">
      <c r="A24" s="19" t="s">
        <v>21</v>
      </c>
      <c r="B24" s="27">
        <v>30.5</v>
      </c>
      <c r="C24" s="27">
        <v>239.25</v>
      </c>
      <c r="D24" s="27">
        <v>-957.25</v>
      </c>
      <c r="E24" s="27">
        <v>1316.5</v>
      </c>
      <c r="F24" s="27">
        <v>1585.75</v>
      </c>
      <c r="G24" s="27">
        <v>1345.25</v>
      </c>
      <c r="H24" s="27">
        <f>G24*(1+$N$25)</f>
        <v>1347.2475552649987</v>
      </c>
      <c r="I24" s="27">
        <f>H24*(1+$N$25)</f>
        <v>1349.2480766902179</v>
      </c>
      <c r="J24" s="27">
        <f>I24*(1+$N$25)</f>
        <v>1351.2515686800948</v>
      </c>
      <c r="K24" s="27">
        <f>J24*(1+$N$25)</f>
        <v>1353.2580356456065</v>
      </c>
      <c r="L24" s="27">
        <f>K24*(1+$N$25)</f>
        <v>1355.2674820042801</v>
      </c>
      <c r="M24" s="13"/>
      <c r="N24" s="13"/>
    </row>
    <row r="25" spans="1:14" ht="13.8" x14ac:dyDescent="0.25">
      <c r="A25" s="30" t="s">
        <v>36</v>
      </c>
      <c r="B25" s="33">
        <f t="shared" ref="B25:L25" si="14">B24/B5</f>
        <v>5.8981904641730859E-5</v>
      </c>
      <c r="C25" s="33">
        <f t="shared" si="14"/>
        <v>4.1152935834101636E-4</v>
      </c>
      <c r="D25" s="33">
        <f t="shared" si="14"/>
        <v>-1.5062569259691834E-3</v>
      </c>
      <c r="E25" s="33">
        <f t="shared" si="14"/>
        <v>1.5323262347578497E-3</v>
      </c>
      <c r="F25" s="33">
        <f t="shared" si="14"/>
        <v>1.6405887290028309E-3</v>
      </c>
      <c r="G25" s="33">
        <f t="shared" si="14"/>
        <v>1.2817706299922895E-3</v>
      </c>
      <c r="H25" s="33">
        <f t="shared" si="14"/>
        <v>1.2217321072100476E-3</v>
      </c>
      <c r="I25" s="33">
        <f t="shared" si="14"/>
        <v>1.1645058069374564E-3</v>
      </c>
      <c r="J25" s="33">
        <f t="shared" si="14"/>
        <v>1.1099600038242364E-3</v>
      </c>
      <c r="K25" s="33">
        <f t="shared" si="14"/>
        <v>1.0579691425752315E-3</v>
      </c>
      <c r="L25" s="33">
        <f t="shared" si="14"/>
        <v>1.0084135489431679E-3</v>
      </c>
      <c r="M25" s="13"/>
      <c r="N25" s="21">
        <f>AVERAGE(E25:G25)</f>
        <v>1.4848951979176568E-3</v>
      </c>
    </row>
    <row r="26" spans="1:14" ht="13.8" x14ac:dyDescent="0.25">
      <c r="A26" s="28" t="s">
        <v>22</v>
      </c>
      <c r="B26" s="29">
        <f t="shared" ref="B26:L26" si="15">B22+B24</f>
        <v>2317.75</v>
      </c>
      <c r="C26" s="29">
        <f t="shared" si="15"/>
        <v>2720.25</v>
      </c>
      <c r="D26" s="29">
        <f t="shared" si="15"/>
        <v>3549.5</v>
      </c>
      <c r="E26" s="29">
        <f t="shared" si="15"/>
        <v>10559.5</v>
      </c>
      <c r="F26" s="29">
        <f t="shared" si="15"/>
        <v>16117.5</v>
      </c>
      <c r="G26" s="29">
        <f t="shared" si="15"/>
        <v>18641</v>
      </c>
      <c r="H26" s="29">
        <f t="shared" si="15"/>
        <v>21932.72198625232</v>
      </c>
      <c r="I26" s="29">
        <f t="shared" si="15"/>
        <v>25850.1663686887</v>
      </c>
      <c r="J26" s="29">
        <f t="shared" si="15"/>
        <v>30512.347620348522</v>
      </c>
      <c r="K26" s="29">
        <f t="shared" si="15"/>
        <v>36060.917267028213</v>
      </c>
      <c r="L26" s="29">
        <f t="shared" si="15"/>
        <v>42664.469549971705</v>
      </c>
      <c r="M26" s="13"/>
      <c r="N26" s="13"/>
    </row>
    <row r="27" spans="1:14" ht="14.4" thickBot="1" x14ac:dyDescent="0.3">
      <c r="A27" s="30"/>
      <c r="B27" s="18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13"/>
      <c r="N27" s="13"/>
    </row>
    <row r="28" spans="1:14" ht="14.4" thickTop="1" x14ac:dyDescent="0.25">
      <c r="A28" s="31" t="s">
        <v>23</v>
      </c>
      <c r="B28" s="32">
        <f t="shared" ref="B28:F28" si="16">B19-B26</f>
        <v>41605.75</v>
      </c>
      <c r="C28" s="32">
        <f t="shared" si="16"/>
        <v>42343</v>
      </c>
      <c r="D28" s="32">
        <f t="shared" si="16"/>
        <v>41865</v>
      </c>
      <c r="E28" s="32">
        <f t="shared" si="16"/>
        <v>55845.5</v>
      </c>
      <c r="F28" s="32">
        <f t="shared" si="16"/>
        <v>66934</v>
      </c>
      <c r="G28" s="32">
        <f t="shared" ref="G28:L28" si="17">G19-G26</f>
        <v>81796.25</v>
      </c>
      <c r="H28" s="32">
        <f t="shared" si="17"/>
        <v>89704.493050376448</v>
      </c>
      <c r="I28" s="32">
        <f t="shared" si="17"/>
        <v>91447.055470297099</v>
      </c>
      <c r="J28" s="32">
        <f t="shared" si="17"/>
        <v>92731.843365873836</v>
      </c>
      <c r="K28" s="32">
        <f t="shared" si="17"/>
        <v>93431.754202195647</v>
      </c>
      <c r="L28" s="32">
        <f t="shared" si="17"/>
        <v>93393.480362741728</v>
      </c>
      <c r="M28" s="13"/>
      <c r="N28" s="13"/>
    </row>
    <row r="29" spans="1:14" ht="13.8" x14ac:dyDescent="0.25">
      <c r="A29" s="22" t="s">
        <v>12</v>
      </c>
      <c r="B29" s="33">
        <f t="shared" ref="B29:F29" si="18">B28/B5</f>
        <v>8.0458569804842409E-2</v>
      </c>
      <c r="C29" s="33">
        <f t="shared" si="18"/>
        <v>7.2833386082481313E-2</v>
      </c>
      <c r="D29" s="33">
        <f t="shared" si="18"/>
        <v>6.5875629360877361E-2</v>
      </c>
      <c r="E29" s="33">
        <f t="shared" si="18"/>
        <v>6.5000778384481192E-2</v>
      </c>
      <c r="F29" s="33">
        <f t="shared" si="18"/>
        <v>6.9248725200741282E-2</v>
      </c>
      <c r="G29" s="33">
        <f t="shared" ref="G29:L29" si="19">G28/G5</f>
        <v>7.7936466005208552E-2</v>
      </c>
      <c r="H29" s="33">
        <f t="shared" si="19"/>
        <v>8.1347231911724327E-2</v>
      </c>
      <c r="I29" s="33">
        <f t="shared" si="19"/>
        <v>7.8925906185999706E-2</v>
      </c>
      <c r="J29" s="33">
        <f t="shared" si="19"/>
        <v>7.6172816078618671E-2</v>
      </c>
      <c r="K29" s="33">
        <f t="shared" si="19"/>
        <v>7.3044393810260122E-2</v>
      </c>
      <c r="L29" s="33">
        <f t="shared" si="19"/>
        <v>6.949126444136805E-2</v>
      </c>
      <c r="M29" s="13"/>
      <c r="N29" s="13"/>
    </row>
    <row r="30" spans="1:14" ht="13.8" x14ac:dyDescent="0.25">
      <c r="A30" s="18"/>
      <c r="B30" s="18"/>
      <c r="C30" s="18"/>
      <c r="D30" s="18"/>
      <c r="E30" s="18"/>
      <c r="F30" s="18"/>
      <c r="G30" s="18"/>
      <c r="H30" s="18"/>
      <c r="I30" s="13"/>
      <c r="J30" s="13"/>
      <c r="K30" s="13"/>
      <c r="L30" s="13"/>
      <c r="M30" s="13"/>
      <c r="N30" s="13"/>
    </row>
    <row r="31" spans="1:14" ht="13.8" x14ac:dyDescent="0.25">
      <c r="A31" s="19" t="s">
        <v>24</v>
      </c>
      <c r="B31" s="27">
        <v>13022.25</v>
      </c>
      <c r="C31" s="27">
        <v>14214.5</v>
      </c>
      <c r="D31" s="27">
        <v>11048.25</v>
      </c>
      <c r="E31" s="27">
        <v>19569.75</v>
      </c>
      <c r="F31" s="27">
        <v>21977</v>
      </c>
      <c r="G31" s="27">
        <v>25602.5</v>
      </c>
      <c r="H31" s="27">
        <f>H28*$N$32</f>
        <v>28077.806541525595</v>
      </c>
      <c r="I31" s="27">
        <f>I28*$N$32</f>
        <v>28623.234410847457</v>
      </c>
      <c r="J31" s="27">
        <f>J28*$N$32</f>
        <v>29025.377322001739</v>
      </c>
      <c r="K31" s="27">
        <f>K28*$N$32</f>
        <v>29244.451756183367</v>
      </c>
      <c r="L31" s="27">
        <f>L28*$N$32</f>
        <v>29232.471916342067</v>
      </c>
      <c r="M31" s="13"/>
      <c r="N31" s="13"/>
    </row>
    <row r="32" spans="1:14" ht="14.4" thickBot="1" x14ac:dyDescent="0.3">
      <c r="A32" s="30" t="s">
        <v>42</v>
      </c>
      <c r="B32" s="33">
        <f t="shared" ref="B32:L32" si="20">B31/B28</f>
        <v>0.31299159371000401</v>
      </c>
      <c r="C32" s="33">
        <f t="shared" si="20"/>
        <v>0.33569893488888364</v>
      </c>
      <c r="D32" s="33">
        <f t="shared" si="20"/>
        <v>0.26390182730204226</v>
      </c>
      <c r="E32" s="33">
        <f t="shared" si="20"/>
        <v>0.35042662345220293</v>
      </c>
      <c r="F32" s="33">
        <f t="shared" si="20"/>
        <v>0.32833836316371351</v>
      </c>
      <c r="G32" s="33">
        <f t="shared" si="20"/>
        <v>0.313003346730443</v>
      </c>
      <c r="H32" s="33">
        <f t="shared" si="20"/>
        <v>0.313003346730443</v>
      </c>
      <c r="I32" s="33">
        <f t="shared" si="20"/>
        <v>0.313003346730443</v>
      </c>
      <c r="J32" s="33">
        <f t="shared" si="20"/>
        <v>0.313003346730443</v>
      </c>
      <c r="K32" s="33">
        <f t="shared" si="20"/>
        <v>0.313003346730443</v>
      </c>
      <c r="L32" s="33">
        <f t="shared" si="20"/>
        <v>0.313003346730443</v>
      </c>
      <c r="M32" s="13"/>
      <c r="N32" s="21">
        <f>G32</f>
        <v>0.313003346730443</v>
      </c>
    </row>
    <row r="33" spans="1:15" ht="14.4" thickTop="1" x14ac:dyDescent="0.25">
      <c r="A33" s="31" t="s">
        <v>25</v>
      </c>
      <c r="B33" s="34">
        <f t="shared" ref="B33:G33" si="21">B28-B31</f>
        <v>28583.5</v>
      </c>
      <c r="C33" s="34">
        <f t="shared" si="21"/>
        <v>28128.5</v>
      </c>
      <c r="D33" s="34">
        <f t="shared" si="21"/>
        <v>30816.75</v>
      </c>
      <c r="E33" s="34">
        <f t="shared" si="21"/>
        <v>36275.75</v>
      </c>
      <c r="F33" s="34">
        <f t="shared" si="21"/>
        <v>44957</v>
      </c>
      <c r="G33" s="34">
        <f t="shared" si="21"/>
        <v>56193.75</v>
      </c>
      <c r="H33" s="34">
        <f>H28-H31</f>
        <v>61626.686508850849</v>
      </c>
      <c r="I33" s="34">
        <f>I28-I31</f>
        <v>62823.821059449641</v>
      </c>
      <c r="J33" s="34">
        <f>J28-J31</f>
        <v>63706.466043872097</v>
      </c>
      <c r="K33" s="34">
        <f>K28-K31</f>
        <v>64187.302446012283</v>
      </c>
      <c r="L33" s="34">
        <f>L28-L31</f>
        <v>64161.008446399661</v>
      </c>
      <c r="M33" s="13"/>
      <c r="N33" s="13"/>
    </row>
    <row r="34" spans="1:15" ht="13.8" x14ac:dyDescent="0.25">
      <c r="A34" s="22" t="s">
        <v>12</v>
      </c>
      <c r="B34" s="33">
        <f t="shared" ref="B34:F34" si="22">B33/B5</f>
        <v>5.5275713813997179E-2</v>
      </c>
      <c r="C34" s="33">
        <f t="shared" si="22"/>
        <v>4.8383295950241496E-2</v>
      </c>
      <c r="D34" s="33">
        <f t="shared" si="22"/>
        <v>4.849093039786976E-2</v>
      </c>
      <c r="E34" s="33">
        <f t="shared" si="22"/>
        <v>4.2222775093442508E-2</v>
      </c>
      <c r="F34" s="33">
        <f t="shared" si="22"/>
        <v>4.6511712117156087E-2</v>
      </c>
      <c r="G34" s="33">
        <f t="shared" ref="G34:L34" si="23">G33/G5</f>
        <v>5.3542091313234869E-2</v>
      </c>
      <c r="H34" s="33">
        <f t="shared" si="23"/>
        <v>5.5885276076097112E-2</v>
      </c>
      <c r="I34" s="33">
        <f t="shared" si="23"/>
        <v>5.4221833406048824E-2</v>
      </c>
      <c r="J34" s="33">
        <f t="shared" si="23"/>
        <v>5.2330469716128522E-2</v>
      </c>
      <c r="K34" s="33">
        <f t="shared" si="23"/>
        <v>5.0181254087752251E-2</v>
      </c>
      <c r="L34" s="33">
        <f t="shared" si="23"/>
        <v>4.7740266102689624E-2</v>
      </c>
      <c r="M34" s="13"/>
      <c r="N34" s="13"/>
    </row>
    <row r="35" spans="1:15" ht="13.8" x14ac:dyDescent="0.25">
      <c r="A35" s="18"/>
      <c r="B35" s="18"/>
      <c r="C35" s="18"/>
      <c r="D35" s="18"/>
      <c r="E35" s="18"/>
      <c r="F35" s="18"/>
      <c r="G35" s="18"/>
      <c r="H35" s="18"/>
      <c r="I35" s="13"/>
      <c r="J35" s="13"/>
      <c r="K35" s="13"/>
      <c r="L35" s="13"/>
      <c r="M35" s="13"/>
      <c r="N35" s="13"/>
    </row>
    <row r="36" spans="1:15" ht="13.8" x14ac:dyDescent="0.25">
      <c r="A36" s="35" t="s">
        <v>26</v>
      </c>
      <c r="B36" s="18"/>
      <c r="C36" s="18"/>
      <c r="D36" s="18"/>
      <c r="E36" s="18"/>
      <c r="F36" s="18"/>
      <c r="G36" s="18"/>
      <c r="H36" s="18"/>
      <c r="I36" s="13"/>
      <c r="J36" s="13"/>
      <c r="K36" s="13"/>
      <c r="L36" s="13"/>
      <c r="M36" s="13"/>
      <c r="N36" s="13"/>
    </row>
    <row r="37" spans="1:15" ht="13.8" x14ac:dyDescent="0.25">
      <c r="A37" s="36" t="s">
        <v>27</v>
      </c>
      <c r="B37" s="37">
        <v>31688.75</v>
      </c>
      <c r="C37" s="37">
        <v>25732.75</v>
      </c>
      <c r="D37" s="37">
        <v>32942.25</v>
      </c>
      <c r="E37" s="37">
        <v>73089.25</v>
      </c>
      <c r="F37" s="37">
        <v>64622</v>
      </c>
      <c r="G37" s="37">
        <v>72702</v>
      </c>
      <c r="H37" s="38">
        <f>H38*$H$5</f>
        <v>69578.613578790711</v>
      </c>
      <c r="I37" s="38">
        <f>I38*I5</f>
        <v>73106.249287235391</v>
      </c>
      <c r="J37" s="38">
        <f>J38*J5</f>
        <v>76812.736126098229</v>
      </c>
      <c r="K37" s="38">
        <f>K38*K5</f>
        <v>80707.141847691397</v>
      </c>
      <c r="L37" s="39">
        <f>L38*L5</f>
        <v>84798.993939369349</v>
      </c>
      <c r="M37" s="13"/>
      <c r="N37" s="13"/>
    </row>
    <row r="38" spans="1:15" ht="13.8" x14ac:dyDescent="0.25">
      <c r="A38" s="40" t="s">
        <v>28</v>
      </c>
      <c r="B38" s="41">
        <f t="shared" ref="B38:G38" si="24">B37/B$5</f>
        <v>6.1280748548054056E-2</v>
      </c>
      <c r="C38" s="41">
        <f t="shared" si="24"/>
        <v>4.4262412103865369E-2</v>
      </c>
      <c r="D38" s="41">
        <f t="shared" si="24"/>
        <v>5.1835458051196999E-2</v>
      </c>
      <c r="E38" s="41">
        <f t="shared" si="24"/>
        <v>8.5071458605222305E-2</v>
      </c>
      <c r="F38" s="41">
        <f t="shared" si="24"/>
        <v>6.6856771146536931E-2</v>
      </c>
      <c r="G38" s="41">
        <f t="shared" si="24"/>
        <v>6.927135353406387E-2</v>
      </c>
      <c r="H38" s="41">
        <f>$N$38</f>
        <v>6.3096366998156586E-2</v>
      </c>
      <c r="I38" s="41">
        <f>$N$38</f>
        <v>6.3096366998156586E-2</v>
      </c>
      <c r="J38" s="41">
        <f>$N$38</f>
        <v>6.3096366998156586E-2</v>
      </c>
      <c r="K38" s="41">
        <f>$N$38</f>
        <v>6.3096366998156586E-2</v>
      </c>
      <c r="L38" s="42">
        <f>$N$38</f>
        <v>6.3096366998156586E-2</v>
      </c>
      <c r="M38" s="13"/>
      <c r="N38" s="21">
        <f>AVERAGE(B38:G38)</f>
        <v>6.3096366998156586E-2</v>
      </c>
    </row>
    <row r="39" spans="1:15" ht="13.8" x14ac:dyDescent="0.25">
      <c r="A39" s="43"/>
      <c r="B39" s="44"/>
      <c r="C39" s="44"/>
      <c r="D39" s="44"/>
      <c r="E39" s="44"/>
      <c r="F39" s="44"/>
      <c r="G39" s="44"/>
      <c r="H39" s="45"/>
      <c r="I39" s="45"/>
      <c r="J39" s="45"/>
      <c r="K39" s="45"/>
      <c r="L39" s="46"/>
      <c r="M39" s="13"/>
      <c r="N39" s="21"/>
    </row>
    <row r="40" spans="1:15" ht="13.8" x14ac:dyDescent="0.25">
      <c r="A40" s="47" t="s">
        <v>29</v>
      </c>
      <c r="B40" s="45">
        <v>16997.5</v>
      </c>
      <c r="C40" s="45">
        <v>18588.5</v>
      </c>
      <c r="D40" s="45">
        <v>20476.25</v>
      </c>
      <c r="E40" s="45">
        <v>27641.75</v>
      </c>
      <c r="F40" s="45">
        <v>30004.75</v>
      </c>
      <c r="G40" s="45">
        <v>34703.5</v>
      </c>
      <c r="H40" s="45">
        <f>H41*H$5</f>
        <v>35534.841279036329</v>
      </c>
      <c r="I40" s="45">
        <f>I41*I$5</f>
        <v>37336.457731883471</v>
      </c>
      <c r="J40" s="45">
        <f>J41*J$5</f>
        <v>39229.416138889959</v>
      </c>
      <c r="K40" s="45">
        <f>K41*K$5</f>
        <v>41218.347537131674</v>
      </c>
      <c r="L40" s="46">
        <f>L41*L$5</f>
        <v>43308.117757264248</v>
      </c>
      <c r="M40" s="13"/>
      <c r="N40" s="21"/>
    </row>
    <row r="41" spans="1:15" ht="13.8" x14ac:dyDescent="0.25">
      <c r="A41" s="40" t="s">
        <v>28</v>
      </c>
      <c r="B41" s="41">
        <f t="shared" ref="B41:G41" si="25">B40/B5</f>
        <v>3.2870325381895743E-2</v>
      </c>
      <c r="C41" s="41">
        <f t="shared" si="25"/>
        <v>3.1973724043979031E-2</v>
      </c>
      <c r="D41" s="41">
        <f t="shared" si="25"/>
        <v>3.2219893842127437E-2</v>
      </c>
      <c r="E41" s="41">
        <f t="shared" si="25"/>
        <v>3.2173322217711957E-2</v>
      </c>
      <c r="F41" s="41">
        <f t="shared" si="25"/>
        <v>3.1042380366733527E-2</v>
      </c>
      <c r="G41" s="41">
        <f t="shared" si="25"/>
        <v>3.3065918645558384E-2</v>
      </c>
      <c r="H41" s="41">
        <f>$N$41</f>
        <v>3.222426074966768E-2</v>
      </c>
      <c r="I41" s="41">
        <f>$N$41</f>
        <v>3.222426074966768E-2</v>
      </c>
      <c r="J41" s="41">
        <f>$N$41</f>
        <v>3.222426074966768E-2</v>
      </c>
      <c r="K41" s="41">
        <f>$N$41</f>
        <v>3.222426074966768E-2</v>
      </c>
      <c r="L41" s="42">
        <f>$N$41</f>
        <v>3.222426074966768E-2</v>
      </c>
      <c r="M41" s="13"/>
      <c r="N41" s="21">
        <f>AVERAGE(B41:G41)</f>
        <v>3.222426074966768E-2</v>
      </c>
    </row>
    <row r="42" spans="1:15" ht="13.8" x14ac:dyDescent="0.25">
      <c r="A42" s="43"/>
      <c r="B42" s="44"/>
      <c r="C42" s="44"/>
      <c r="D42" s="44"/>
      <c r="E42" s="44"/>
      <c r="F42" s="44"/>
      <c r="G42" s="44"/>
      <c r="H42" s="45"/>
      <c r="I42" s="45"/>
      <c r="J42" s="45"/>
      <c r="K42" s="45"/>
      <c r="L42" s="46"/>
      <c r="M42" s="13"/>
      <c r="N42" s="21"/>
    </row>
    <row r="43" spans="1:15" ht="13.8" x14ac:dyDescent="0.25">
      <c r="A43" s="47" t="s">
        <v>30</v>
      </c>
      <c r="B43" s="45">
        <v>-1267.5</v>
      </c>
      <c r="C43" s="45">
        <v>4825.25</v>
      </c>
      <c r="D43" s="45">
        <v>-7625</v>
      </c>
      <c r="E43" s="45">
        <v>892.5</v>
      </c>
      <c r="F43" s="45">
        <v>-4814.5</v>
      </c>
      <c r="G43" s="45">
        <v>-21686.5</v>
      </c>
      <c r="H43" s="38">
        <f>H44*H$5</f>
        <v>-5652.3994905639383</v>
      </c>
      <c r="I43" s="38">
        <f>I44*I$5</f>
        <v>-5938.9761447355295</v>
      </c>
      <c r="J43" s="38">
        <f>J44*J$5</f>
        <v>-6240.0822352736204</v>
      </c>
      <c r="K43" s="38">
        <f>K44*K$5</f>
        <v>-6556.4544046019928</v>
      </c>
      <c r="L43" s="46">
        <f>L44*L$5</f>
        <v>-6888.8666429153136</v>
      </c>
      <c r="M43" s="13"/>
      <c r="N43" s="21"/>
    </row>
    <row r="44" spans="1:15" ht="13.8" x14ac:dyDescent="0.25">
      <c r="A44" s="48" t="s">
        <v>28</v>
      </c>
      <c r="B44" s="49">
        <f t="shared" ref="B44:G44" si="26">B43/B5</f>
        <v>-2.4511332502752084E-3</v>
      </c>
      <c r="C44" s="49">
        <f t="shared" si="26"/>
        <v>8.2998204235527236E-3</v>
      </c>
      <c r="D44" s="49">
        <f t="shared" si="26"/>
        <v>-1.1998129078626296E-2</v>
      </c>
      <c r="E44" s="49">
        <f t="shared" si="26"/>
        <v>1.0388159244370534E-3</v>
      </c>
      <c r="F44" s="49">
        <f t="shared" si="26"/>
        <v>-4.9809960181517446E-3</v>
      </c>
      <c r="G44" s="49">
        <f t="shared" si="26"/>
        <v>-2.0663162064543977E-2</v>
      </c>
      <c r="H44" s="49">
        <f>$N$44</f>
        <v>-5.1257973439345749E-3</v>
      </c>
      <c r="I44" s="49">
        <f>$N$44</f>
        <v>-5.1257973439345749E-3</v>
      </c>
      <c r="J44" s="49">
        <f>$N$44</f>
        <v>-5.1257973439345749E-3</v>
      </c>
      <c r="K44" s="49">
        <f>$N$44</f>
        <v>-5.1257973439345749E-3</v>
      </c>
      <c r="L44" s="50">
        <f>$N$44</f>
        <v>-5.1257973439345749E-3</v>
      </c>
      <c r="M44" s="13"/>
      <c r="N44" s="21">
        <f>AVERAGE(B44:G44)</f>
        <v>-5.1257973439345749E-3</v>
      </c>
    </row>
    <row r="45" spans="1:15" x14ac:dyDescent="0.2">
      <c r="A45" s="8"/>
      <c r="B45" s="8"/>
      <c r="C45" s="8"/>
      <c r="D45" s="8"/>
      <c r="E45" s="8"/>
      <c r="F45" s="8"/>
      <c r="G45" s="8"/>
      <c r="H45" s="67">
        <v>1</v>
      </c>
      <c r="I45" s="68">
        <v>2</v>
      </c>
      <c r="J45" s="68">
        <v>3</v>
      </c>
      <c r="K45" s="68">
        <v>4</v>
      </c>
      <c r="L45" s="68">
        <v>5</v>
      </c>
    </row>
    <row r="46" spans="1:15" ht="14.4" x14ac:dyDescent="0.3">
      <c r="A46"/>
      <c r="B46"/>
      <c r="C46"/>
      <c r="D46"/>
      <c r="E46"/>
      <c r="F46"/>
      <c r="G46"/>
      <c r="H46" s="78" t="s">
        <v>140</v>
      </c>
      <c r="I46" s="78"/>
      <c r="J46" s="78"/>
      <c r="K46" s="78"/>
      <c r="L46" s="78"/>
    </row>
    <row r="47" spans="1:15" ht="14.4" x14ac:dyDescent="0.3">
      <c r="A47"/>
      <c r="B47"/>
      <c r="C47"/>
      <c r="D47"/>
      <c r="E47"/>
      <c r="F47"/>
      <c r="G47"/>
      <c r="H47" s="16" t="s">
        <v>2</v>
      </c>
      <c r="I47" s="16" t="s">
        <v>3</v>
      </c>
      <c r="J47" s="16" t="s">
        <v>4</v>
      </c>
      <c r="K47" s="16" t="s">
        <v>5</v>
      </c>
      <c r="L47" s="16" t="s">
        <v>6</v>
      </c>
      <c r="N47" s="27" t="s">
        <v>108</v>
      </c>
      <c r="O47" s="27"/>
    </row>
    <row r="48" spans="1:15" ht="13.8" x14ac:dyDescent="0.25">
      <c r="G48" s="63" t="s">
        <v>23</v>
      </c>
      <c r="H48" s="27">
        <f>H28</f>
        <v>89704.493050376448</v>
      </c>
      <c r="I48" s="27">
        <f>I28</f>
        <v>91447.055470297099</v>
      </c>
      <c r="J48" s="27">
        <f>J28</f>
        <v>92731.843365873836</v>
      </c>
      <c r="K48" s="27">
        <f>K28</f>
        <v>93431.754202195647</v>
      </c>
      <c r="L48" s="27">
        <f>L28</f>
        <v>93393.480362741728</v>
      </c>
      <c r="N48" s="65">
        <f>WACC!B28</f>
        <v>6.0208517631094444E-2</v>
      </c>
      <c r="O48" s="27"/>
    </row>
    <row r="49" spans="7:15" x14ac:dyDescent="0.2">
      <c r="G49" s="63" t="s">
        <v>141</v>
      </c>
      <c r="H49" s="27">
        <f>H37</f>
        <v>69578.613578790711</v>
      </c>
      <c r="I49" s="27">
        <f>I37</f>
        <v>73106.249287235391</v>
      </c>
      <c r="J49" s="27">
        <f>J37</f>
        <v>76812.736126098229</v>
      </c>
      <c r="K49" s="27">
        <f>K37</f>
        <v>80707.141847691397</v>
      </c>
      <c r="L49" s="27">
        <f>L37</f>
        <v>84798.993939369349</v>
      </c>
      <c r="N49" s="27"/>
      <c r="O49" s="27"/>
    </row>
    <row r="50" spans="7:15" x14ac:dyDescent="0.2">
      <c r="G50" s="63" t="s">
        <v>142</v>
      </c>
      <c r="H50" s="27">
        <f>H40</f>
        <v>35534.841279036329</v>
      </c>
      <c r="I50" s="27">
        <f>I40</f>
        <v>37336.457731883471</v>
      </c>
      <c r="J50" s="27">
        <f>J40</f>
        <v>39229.416138889959</v>
      </c>
      <c r="K50" s="27">
        <f>K40</f>
        <v>41218.347537131674</v>
      </c>
      <c r="L50" s="27">
        <f>L40</f>
        <v>43308.117757264248</v>
      </c>
      <c r="N50" s="27" t="s">
        <v>146</v>
      </c>
      <c r="O50" s="27" t="s">
        <v>148</v>
      </c>
    </row>
    <row r="51" spans="7:15" ht="14.4" thickBot="1" x14ac:dyDescent="0.3">
      <c r="G51" s="63" t="s">
        <v>143</v>
      </c>
      <c r="H51" s="64">
        <f>H43</f>
        <v>-5652.3994905639383</v>
      </c>
      <c r="I51" s="64">
        <f>I43</f>
        <v>-5938.9761447355295</v>
      </c>
      <c r="J51" s="64">
        <f>J43</f>
        <v>-6240.0822352736204</v>
      </c>
      <c r="K51" s="64">
        <f>K43</f>
        <v>-6556.4544046019928</v>
      </c>
      <c r="L51" s="64">
        <f>L43</f>
        <v>-6888.8666429153136</v>
      </c>
      <c r="N51" s="65">
        <v>3.2000000000000001E-2</v>
      </c>
      <c r="O51" s="27">
        <f>(L52*(1+N51))/(N48-N51)</f>
        <v>2150867.9996365905</v>
      </c>
    </row>
    <row r="52" spans="7:15" ht="13.8" thickTop="1" x14ac:dyDescent="0.2">
      <c r="G52" s="63" t="s">
        <v>144</v>
      </c>
      <c r="H52" s="66">
        <f>H48-H49+H50-H51</f>
        <v>61313.120241186007</v>
      </c>
      <c r="I52" s="66">
        <f>I48-I49+I50-I51</f>
        <v>61616.240059680706</v>
      </c>
      <c r="J52" s="66">
        <f>J48-J49+J50-J51</f>
        <v>61388.605613939188</v>
      </c>
      <c r="K52" s="66">
        <f>K48-K49+K50-K51</f>
        <v>60499.414296237919</v>
      </c>
      <c r="L52" s="66">
        <f>L48-L49+L50-L51</f>
        <v>58791.470823551943</v>
      </c>
      <c r="N52" s="27"/>
      <c r="O52" s="27"/>
    </row>
    <row r="53" spans="7:15" x14ac:dyDescent="0.2">
      <c r="G53" s="63" t="s">
        <v>145</v>
      </c>
      <c r="H53" s="27"/>
      <c r="I53" s="27"/>
      <c r="J53" s="27"/>
      <c r="K53" s="27"/>
      <c r="L53" s="27"/>
      <c r="N53" s="27" t="s">
        <v>147</v>
      </c>
      <c r="O53" s="27" t="s">
        <v>148</v>
      </c>
    </row>
    <row r="54" spans="7:15" ht="13.8" x14ac:dyDescent="0.25">
      <c r="H54" s="27"/>
      <c r="I54" s="27"/>
      <c r="J54" s="27"/>
      <c r="K54" s="27"/>
      <c r="L54" s="27"/>
      <c r="N54" s="69">
        <f>'Comparable Companies'!J14</f>
        <v>12.842650977754525</v>
      </c>
      <c r="O54" s="27">
        <f>N54*L19</f>
        <v>1747344.7634777853</v>
      </c>
    </row>
    <row r="55" spans="7:15" x14ac:dyDescent="0.2">
      <c r="G55" s="63" t="s">
        <v>149</v>
      </c>
      <c r="H55" s="27">
        <f>H52/(1+$N$48)^H45</f>
        <v>57831.190017396417</v>
      </c>
      <c r="I55" s="27">
        <f>I52/(1+$N$48)^I45</f>
        <v>54816.665685986467</v>
      </c>
      <c r="J55" s="27">
        <f>J52/(1+$N$48)^J45</f>
        <v>51512.651157115499</v>
      </c>
      <c r="K55" s="27">
        <f>K52/(1+$N$48)^K45</f>
        <v>47883.514001364405</v>
      </c>
      <c r="L55" s="27">
        <f>(L52+O51)/(1+$N$48)^L45</f>
        <v>1649562.993271579</v>
      </c>
      <c r="O55" s="27"/>
    </row>
    <row r="56" spans="7:15" x14ac:dyDescent="0.2">
      <c r="G56" s="63" t="s">
        <v>150</v>
      </c>
      <c r="H56" s="70">
        <f>SUM(H55:L55)</f>
        <v>1861607.0141334417</v>
      </c>
      <c r="I56" s="27"/>
      <c r="J56" s="27"/>
      <c r="K56" s="27"/>
      <c r="L56" s="27"/>
      <c r="O56" s="27"/>
    </row>
    <row r="57" spans="7:15" x14ac:dyDescent="0.2">
      <c r="H57" s="27"/>
      <c r="I57" s="27"/>
      <c r="J57" s="27"/>
      <c r="K57" s="27"/>
      <c r="L57" s="27"/>
      <c r="O57" s="27"/>
    </row>
    <row r="58" spans="7:15" x14ac:dyDescent="0.2">
      <c r="G58" s="63" t="s">
        <v>149</v>
      </c>
      <c r="H58" s="27">
        <f>H52/(1+$N$48)^H45</f>
        <v>57831.190017396417</v>
      </c>
      <c r="I58" s="27">
        <f>I52/(1+$N$48)^I45</f>
        <v>54816.665685986467</v>
      </c>
      <c r="J58" s="27">
        <f>J52/(1+$N$48)^J45</f>
        <v>51512.651157115499</v>
      </c>
      <c r="K58" s="27">
        <f>K52/(1+$N$48)^K45</f>
        <v>47883.514001364405</v>
      </c>
      <c r="L58" s="27">
        <f>(L52+O54)/(1+$N$48)^L45</f>
        <v>1348323.3650884456</v>
      </c>
      <c r="O58" s="27"/>
    </row>
    <row r="59" spans="7:15" ht="13.8" x14ac:dyDescent="0.25">
      <c r="G59" s="63" t="s">
        <v>150</v>
      </c>
      <c r="H59" s="70">
        <f>SUM(H58:L58)</f>
        <v>1560367.3859503083</v>
      </c>
      <c r="I59" s="27"/>
      <c r="J59" s="27"/>
      <c r="K59" s="27"/>
      <c r="L59" s="27"/>
      <c r="N59" s="65"/>
      <c r="O59" s="27"/>
    </row>
    <row r="60" spans="7:15" x14ac:dyDescent="0.2">
      <c r="H60" s="27"/>
      <c r="I60" s="27"/>
      <c r="J60" s="27"/>
      <c r="K60" s="27"/>
      <c r="L60" s="27"/>
      <c r="N60" s="27"/>
      <c r="O60" s="27"/>
    </row>
    <row r="61" spans="7:15" x14ac:dyDescent="0.2">
      <c r="H61" s="27"/>
      <c r="I61" s="27"/>
      <c r="J61" s="27"/>
      <c r="K61" s="27"/>
      <c r="L61" s="27"/>
      <c r="N61" s="27"/>
      <c r="O61" s="27"/>
    </row>
    <row r="62" spans="7:15" x14ac:dyDescent="0.2">
      <c r="H62" s="27"/>
      <c r="I62" s="27"/>
      <c r="J62" s="27"/>
      <c r="K62" s="27"/>
      <c r="L62" s="27"/>
      <c r="N62" s="27"/>
      <c r="O62" s="27"/>
    </row>
    <row r="63" spans="7:15" x14ac:dyDescent="0.2">
      <c r="H63" s="27"/>
      <c r="I63" s="27"/>
      <c r="J63" s="27"/>
      <c r="K63" s="27"/>
      <c r="L63" s="27"/>
    </row>
    <row r="64" spans="7:15" x14ac:dyDescent="0.2">
      <c r="H64" s="27"/>
      <c r="I64" s="27"/>
      <c r="J64" s="27"/>
      <c r="K64" s="27"/>
      <c r="L64" s="27"/>
    </row>
    <row r="65" spans="8:12" x14ac:dyDescent="0.2">
      <c r="H65" s="27"/>
      <c r="I65" s="27"/>
      <c r="J65" s="27"/>
      <c r="K65" s="27"/>
      <c r="L65" s="27"/>
    </row>
    <row r="66" spans="8:12" x14ac:dyDescent="0.2">
      <c r="H66" s="27"/>
      <c r="I66" s="27"/>
      <c r="J66" s="27"/>
      <c r="K66" s="27"/>
      <c r="L66" s="27"/>
    </row>
    <row r="67" spans="8:12" x14ac:dyDescent="0.2">
      <c r="H67" s="27"/>
      <c r="I67" s="27"/>
      <c r="J67" s="27"/>
      <c r="K67" s="27"/>
      <c r="L67" s="27"/>
    </row>
    <row r="68" spans="8:12" x14ac:dyDescent="0.2">
      <c r="H68" s="27"/>
      <c r="I68" s="27"/>
      <c r="J68" s="27"/>
      <c r="K68" s="27"/>
      <c r="L68" s="27"/>
    </row>
    <row r="69" spans="8:12" x14ac:dyDescent="0.2">
      <c r="H69" s="27"/>
      <c r="I69" s="27"/>
      <c r="J69" s="27"/>
      <c r="K69" s="27"/>
      <c r="L69" s="27"/>
    </row>
    <row r="70" spans="8:12" x14ac:dyDescent="0.2">
      <c r="H70" s="27"/>
      <c r="I70" s="27"/>
      <c r="J70" s="27"/>
      <c r="K70" s="27"/>
      <c r="L70" s="27"/>
    </row>
    <row r="71" spans="8:12" x14ac:dyDescent="0.2">
      <c r="H71" s="27"/>
      <c r="I71" s="27"/>
      <c r="J71" s="27"/>
      <c r="K71" s="27"/>
      <c r="L71" s="27"/>
    </row>
    <row r="72" spans="8:12" x14ac:dyDescent="0.2">
      <c r="H72" s="27"/>
      <c r="I72" s="27"/>
      <c r="J72" s="27"/>
      <c r="K72" s="27"/>
      <c r="L72" s="27"/>
    </row>
    <row r="73" spans="8:12" x14ac:dyDescent="0.2">
      <c r="H73" s="27"/>
      <c r="I73" s="27"/>
      <c r="J73" s="27"/>
      <c r="K73" s="27"/>
      <c r="L73" s="27"/>
    </row>
    <row r="74" spans="8:12" x14ac:dyDescent="0.2">
      <c r="H74" s="27"/>
      <c r="I74" s="27"/>
      <c r="J74" s="27"/>
      <c r="K74" s="27"/>
      <c r="L74" s="27"/>
    </row>
    <row r="75" spans="8:12" x14ac:dyDescent="0.2">
      <c r="H75" s="27"/>
      <c r="I75" s="27"/>
      <c r="J75" s="27"/>
      <c r="K75" s="27"/>
      <c r="L75" s="27"/>
    </row>
    <row r="76" spans="8:12" x14ac:dyDescent="0.2">
      <c r="H76" s="27"/>
      <c r="I76" s="27"/>
      <c r="J76" s="27"/>
      <c r="K76" s="27"/>
      <c r="L76" s="27"/>
    </row>
    <row r="77" spans="8:12" x14ac:dyDescent="0.2">
      <c r="H77" s="27"/>
      <c r="I77" s="27"/>
      <c r="J77" s="27"/>
      <c r="K77" s="27"/>
      <c r="L77" s="27"/>
    </row>
    <row r="78" spans="8:12" x14ac:dyDescent="0.2">
      <c r="H78" s="27"/>
      <c r="I78" s="27"/>
      <c r="J78" s="27"/>
      <c r="K78" s="27"/>
      <c r="L78" s="27"/>
    </row>
    <row r="79" spans="8:12" x14ac:dyDescent="0.2">
      <c r="H79" s="27"/>
      <c r="I79" s="27"/>
      <c r="J79" s="27"/>
      <c r="K79" s="27"/>
      <c r="L79" s="27"/>
    </row>
    <row r="80" spans="8:12" x14ac:dyDescent="0.2">
      <c r="H80" s="27"/>
      <c r="I80" s="27"/>
      <c r="J80" s="27"/>
      <c r="K80" s="27"/>
      <c r="L80" s="27"/>
    </row>
    <row r="81" spans="8:12" x14ac:dyDescent="0.2">
      <c r="H81" s="27"/>
      <c r="I81" s="27"/>
      <c r="J81" s="27"/>
      <c r="K81" s="27"/>
      <c r="L81" s="27"/>
    </row>
    <row r="82" spans="8:12" x14ac:dyDescent="0.2">
      <c r="H82" s="27"/>
      <c r="I82" s="27"/>
      <c r="J82" s="27"/>
      <c r="K82" s="27"/>
      <c r="L82" s="27"/>
    </row>
    <row r="83" spans="8:12" x14ac:dyDescent="0.2">
      <c r="H83" s="27"/>
      <c r="I83" s="27"/>
      <c r="J83" s="27"/>
      <c r="K83" s="27"/>
      <c r="L83" s="27"/>
    </row>
    <row r="84" spans="8:12" x14ac:dyDescent="0.2">
      <c r="H84" s="27"/>
      <c r="I84" s="27"/>
      <c r="J84" s="27"/>
      <c r="K84" s="27"/>
      <c r="L84" s="27"/>
    </row>
    <row r="85" spans="8:12" x14ac:dyDescent="0.2">
      <c r="H85" s="27"/>
      <c r="I85" s="27"/>
      <c r="J85" s="27"/>
      <c r="K85" s="27"/>
      <c r="L85" s="27"/>
    </row>
    <row r="86" spans="8:12" x14ac:dyDescent="0.2">
      <c r="H86" s="27"/>
      <c r="I86" s="27"/>
      <c r="J86" s="27"/>
      <c r="K86" s="27"/>
      <c r="L86" s="27"/>
    </row>
    <row r="87" spans="8:12" x14ac:dyDescent="0.2">
      <c r="H87" s="27"/>
      <c r="I87" s="27"/>
      <c r="J87" s="27"/>
      <c r="K87" s="27"/>
      <c r="L87" s="27"/>
    </row>
    <row r="88" spans="8:12" x14ac:dyDescent="0.2">
      <c r="H88" s="27"/>
      <c r="I88" s="27"/>
      <c r="J88" s="27"/>
      <c r="K88" s="27"/>
      <c r="L88" s="27"/>
    </row>
    <row r="89" spans="8:12" x14ac:dyDescent="0.2">
      <c r="H89" s="27"/>
      <c r="I89" s="27"/>
      <c r="J89" s="27"/>
      <c r="K89" s="27"/>
      <c r="L89" s="27"/>
    </row>
    <row r="90" spans="8:12" x14ac:dyDescent="0.2">
      <c r="H90" s="27"/>
      <c r="I90" s="27"/>
      <c r="J90" s="27"/>
      <c r="K90" s="27"/>
      <c r="L90" s="27"/>
    </row>
    <row r="91" spans="8:12" x14ac:dyDescent="0.2">
      <c r="H91" s="27"/>
      <c r="I91" s="27"/>
      <c r="J91" s="27"/>
      <c r="K91" s="27"/>
      <c r="L91" s="27"/>
    </row>
    <row r="92" spans="8:12" x14ac:dyDescent="0.2">
      <c r="H92" s="27"/>
      <c r="I92" s="27"/>
      <c r="J92" s="27"/>
      <c r="K92" s="27"/>
      <c r="L92" s="27"/>
    </row>
    <row r="93" spans="8:12" x14ac:dyDescent="0.2">
      <c r="H93" s="27"/>
      <c r="I93" s="27"/>
      <c r="J93" s="27"/>
      <c r="K93" s="27"/>
      <c r="L93" s="27"/>
    </row>
    <row r="94" spans="8:12" x14ac:dyDescent="0.2">
      <c r="H94" s="27"/>
      <c r="I94" s="27"/>
      <c r="J94" s="27"/>
      <c r="K94" s="27"/>
      <c r="L94" s="27"/>
    </row>
    <row r="95" spans="8:12" x14ac:dyDescent="0.2">
      <c r="H95" s="27"/>
      <c r="I95" s="27"/>
      <c r="J95" s="27"/>
      <c r="K95" s="27"/>
      <c r="L95" s="27"/>
    </row>
  </sheetData>
  <mergeCells count="3">
    <mergeCell ref="B2:G2"/>
    <mergeCell ref="H2:L2"/>
    <mergeCell ref="H46:L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DE25-743A-4157-ABC0-0F15E921775E}">
  <dimension ref="A2:P28"/>
  <sheetViews>
    <sheetView showGridLines="0" zoomScale="85" zoomScaleNormal="85" workbookViewId="0">
      <selection activeCell="K14" sqref="K14"/>
    </sheetView>
  </sheetViews>
  <sheetFormatPr defaultRowHeight="14.4" x14ac:dyDescent="0.3"/>
  <cols>
    <col min="1" max="1" width="25" bestFit="1" customWidth="1"/>
    <col min="2" max="2" width="11.6640625" bestFit="1" customWidth="1"/>
    <col min="3" max="3" width="13.109375" bestFit="1" customWidth="1"/>
    <col min="4" max="4" width="10.33203125" bestFit="1" customWidth="1"/>
    <col min="5" max="5" width="9.33203125" bestFit="1" customWidth="1"/>
    <col min="6" max="6" width="11.5546875" bestFit="1" customWidth="1"/>
    <col min="7" max="7" width="13.88671875" bestFit="1" customWidth="1"/>
    <col min="8" max="8" width="13.33203125" bestFit="1" customWidth="1"/>
    <col min="9" max="9" width="9.109375" bestFit="1" customWidth="1"/>
    <col min="11" max="11" width="9.109375" bestFit="1" customWidth="1"/>
    <col min="13" max="13" width="9.109375" bestFit="1" customWidth="1"/>
    <col min="14" max="15" width="10.33203125" bestFit="1" customWidth="1"/>
    <col min="16" max="16" width="13.109375" bestFit="1" customWidth="1"/>
  </cols>
  <sheetData>
    <row r="2" spans="1:16" x14ac:dyDescent="0.3">
      <c r="B2" t="s">
        <v>138</v>
      </c>
    </row>
    <row r="4" spans="1:16" ht="24" x14ac:dyDescent="0.3">
      <c r="B4" s="76" t="s">
        <v>37</v>
      </c>
      <c r="C4" s="76" t="s">
        <v>38</v>
      </c>
      <c r="D4" s="76" t="s">
        <v>32</v>
      </c>
      <c r="E4" s="76" t="s">
        <v>42</v>
      </c>
      <c r="F4" s="76" t="s">
        <v>39</v>
      </c>
      <c r="G4" s="76" t="s">
        <v>40</v>
      </c>
      <c r="H4" s="76" t="s">
        <v>41</v>
      </c>
      <c r="I4" s="76" t="s">
        <v>46</v>
      </c>
      <c r="J4" s="76"/>
      <c r="K4" s="76" t="s">
        <v>43</v>
      </c>
      <c r="L4" s="76"/>
      <c r="M4" s="76" t="s">
        <v>52</v>
      </c>
      <c r="N4" s="76" t="s">
        <v>105</v>
      </c>
      <c r="O4" s="76" t="s">
        <v>106</v>
      </c>
      <c r="P4" s="76" t="s">
        <v>54</v>
      </c>
    </row>
    <row r="5" spans="1:16" ht="15.6" x14ac:dyDescent="0.3">
      <c r="A5" s="76" t="s">
        <v>33</v>
      </c>
      <c r="B5" s="71">
        <v>9069.6</v>
      </c>
      <c r="C5" s="71">
        <v>13618.36</v>
      </c>
      <c r="D5" s="72">
        <f>B5/C5</f>
        <v>0.66598327551922554</v>
      </c>
      <c r="E5" s="72">
        <v>0.25</v>
      </c>
      <c r="F5" s="73">
        <v>0.41</v>
      </c>
      <c r="G5" s="74">
        <f>F5/(1+((1-E5)*D5))</f>
        <v>0.27342676204766175</v>
      </c>
      <c r="H5" s="74">
        <f t="shared" ref="H5:H10" si="0">G5*(1+((1-E5)*$K$5))</f>
        <v>0.38690775738011196</v>
      </c>
      <c r="I5" s="73"/>
      <c r="J5" s="73"/>
      <c r="K5" s="75">
        <f>AVERAGE(D5:D10)</f>
        <v>0.55337667989582306</v>
      </c>
      <c r="L5" s="73"/>
      <c r="M5" s="72">
        <v>4.7E-2</v>
      </c>
      <c r="N5" s="72">
        <f>B5/P5</f>
        <v>0.39975387826847369</v>
      </c>
      <c r="O5" s="72">
        <f>C5/P5</f>
        <v>0.60024612173152636</v>
      </c>
      <c r="P5" s="71">
        <f t="shared" ref="P5:P10" si="1">B5+C5</f>
        <v>22687.96</v>
      </c>
    </row>
    <row r="6" spans="1:16" ht="15.6" x14ac:dyDescent="0.3">
      <c r="A6" s="76" t="s">
        <v>34</v>
      </c>
      <c r="B6" s="71">
        <v>9678</v>
      </c>
      <c r="C6" s="71">
        <v>19188.75</v>
      </c>
      <c r="D6" s="72">
        <f t="shared" ref="D6:D10" si="2">B6/C6</f>
        <v>0.50435802227867887</v>
      </c>
      <c r="E6" s="72">
        <v>0.24299999999999999</v>
      </c>
      <c r="F6" s="73">
        <v>0.76</v>
      </c>
      <c r="G6" s="74">
        <f t="shared" ref="G6:G10" si="3">F6/(1+((1-E6)*D6))</f>
        <v>0.55000762587329832</v>
      </c>
      <c r="H6" s="74">
        <f t="shared" si="0"/>
        <v>0.78040920107312273</v>
      </c>
      <c r="I6" s="73"/>
      <c r="J6" s="73"/>
      <c r="K6" s="73"/>
      <c r="L6" s="73"/>
      <c r="M6" s="72">
        <v>4.2999999999999997E-2</v>
      </c>
      <c r="N6" s="72">
        <f t="shared" ref="N6:N10" si="4">B6/P6</f>
        <v>0.33526462106056276</v>
      </c>
      <c r="O6" s="72">
        <f t="shared" ref="O6:O10" si="5">C6/P6</f>
        <v>0.66473537893943724</v>
      </c>
      <c r="P6" s="71">
        <f t="shared" si="1"/>
        <v>28866.75</v>
      </c>
    </row>
    <row r="7" spans="1:16" ht="15.6" x14ac:dyDescent="0.3">
      <c r="A7" s="76" t="s">
        <v>55</v>
      </c>
      <c r="B7" s="71">
        <v>3311.21</v>
      </c>
      <c r="C7" s="71">
        <v>16970</v>
      </c>
      <c r="D7" s="72">
        <f t="shared" si="2"/>
        <v>0.19512139068945197</v>
      </c>
      <c r="E7" s="72">
        <v>0.23400000000000001</v>
      </c>
      <c r="F7" s="73">
        <v>0.27</v>
      </c>
      <c r="G7" s="74">
        <f t="shared" si="3"/>
        <v>0.23489229619431429</v>
      </c>
      <c r="H7" s="74">
        <f t="shared" si="0"/>
        <v>0.33445997814916911</v>
      </c>
      <c r="I7" s="73"/>
      <c r="J7" s="73"/>
      <c r="K7" s="73"/>
      <c r="L7" s="73"/>
      <c r="M7" s="72">
        <v>4.4999999999999998E-2</v>
      </c>
      <c r="N7" s="72">
        <f t="shared" si="4"/>
        <v>0.1632649136811857</v>
      </c>
      <c r="O7" s="72">
        <f t="shared" si="5"/>
        <v>0.83673508631881433</v>
      </c>
      <c r="P7" s="71">
        <f t="shared" si="1"/>
        <v>20281.21</v>
      </c>
    </row>
    <row r="8" spans="1:16" ht="15.6" x14ac:dyDescent="0.3">
      <c r="A8" s="76" t="s">
        <v>44</v>
      </c>
      <c r="B8" s="71">
        <v>1483.38</v>
      </c>
      <c r="C8" s="71">
        <v>1166.68</v>
      </c>
      <c r="D8" s="72">
        <f t="shared" si="2"/>
        <v>1.2714540405252512</v>
      </c>
      <c r="E8" s="72">
        <v>0.19700000000000001</v>
      </c>
      <c r="F8" s="73">
        <v>0.89</v>
      </c>
      <c r="G8" s="74">
        <f t="shared" si="3"/>
        <v>0.44038093366482506</v>
      </c>
      <c r="H8" s="74">
        <f t="shared" si="0"/>
        <v>0.63606925445039852</v>
      </c>
      <c r="I8" s="73"/>
      <c r="J8" s="73"/>
      <c r="K8" s="73"/>
      <c r="L8" s="73"/>
      <c r="M8" s="72">
        <v>5.2999999999999999E-2</v>
      </c>
      <c r="N8" s="72">
        <f t="shared" si="4"/>
        <v>0.55975336407477561</v>
      </c>
      <c r="O8" s="72">
        <f t="shared" si="5"/>
        <v>0.44024663592522428</v>
      </c>
      <c r="P8" s="71">
        <f t="shared" si="1"/>
        <v>2650.0600000000004</v>
      </c>
    </row>
    <row r="9" spans="1:16" ht="15.6" x14ac:dyDescent="0.3">
      <c r="A9" s="76" t="s">
        <v>45</v>
      </c>
      <c r="B9" s="71">
        <v>1660.66</v>
      </c>
      <c r="C9" s="71">
        <v>4869.3100000000004</v>
      </c>
      <c r="D9" s="72">
        <f t="shared" si="2"/>
        <v>0.34104626733561838</v>
      </c>
      <c r="E9" s="72">
        <v>0.247</v>
      </c>
      <c r="F9" s="73">
        <v>0.49</v>
      </c>
      <c r="G9" s="74">
        <f t="shared" si="3"/>
        <v>0.3898766260651772</v>
      </c>
      <c r="H9" s="74">
        <f t="shared" si="0"/>
        <v>0.55233534663957973</v>
      </c>
      <c r="I9" s="73"/>
      <c r="J9" s="73"/>
      <c r="K9" s="73"/>
      <c r="L9" s="73"/>
      <c r="M9" s="72">
        <v>4.3999999999999997E-2</v>
      </c>
      <c r="N9" s="72">
        <f t="shared" si="4"/>
        <v>0.25431357265041032</v>
      </c>
      <c r="O9" s="72">
        <f t="shared" si="5"/>
        <v>0.74568642734958968</v>
      </c>
      <c r="P9" s="71">
        <f t="shared" si="1"/>
        <v>6529.97</v>
      </c>
    </row>
    <row r="10" spans="1:16" ht="15.6" x14ac:dyDescent="0.3">
      <c r="A10" s="76" t="s">
        <v>35</v>
      </c>
      <c r="B10" s="71">
        <v>6526</v>
      </c>
      <c r="C10" s="71">
        <v>19065.310000000001</v>
      </c>
      <c r="D10" s="72">
        <f t="shared" si="2"/>
        <v>0.34229708302671186</v>
      </c>
      <c r="E10" s="72">
        <v>0.247</v>
      </c>
      <c r="F10" s="73">
        <v>0.41</v>
      </c>
      <c r="G10" s="74">
        <f t="shared" si="3"/>
        <v>0.32597900747091624</v>
      </c>
      <c r="H10" s="74">
        <f t="shared" si="0"/>
        <v>0.46181206066601971</v>
      </c>
      <c r="I10" s="74">
        <f>AVERAGE(H5:H10)</f>
        <v>0.52533226639306696</v>
      </c>
      <c r="J10" s="73"/>
      <c r="K10" s="73"/>
      <c r="L10" s="73"/>
      <c r="M10" s="72">
        <v>4.3999999999999997E-2</v>
      </c>
      <c r="N10" s="72">
        <f t="shared" si="4"/>
        <v>0.25500843841132009</v>
      </c>
      <c r="O10" s="72">
        <f t="shared" si="5"/>
        <v>0.74499156158867996</v>
      </c>
      <c r="P10" s="71">
        <f t="shared" si="1"/>
        <v>25591.31</v>
      </c>
    </row>
    <row r="13" spans="1:16" x14ac:dyDescent="0.3">
      <c r="A13" s="76" t="s">
        <v>47</v>
      </c>
      <c r="B13" s="1">
        <f>B15+B14*(B16)</f>
        <v>7.2443939184404824E-2</v>
      </c>
    </row>
    <row r="14" spans="1:16" x14ac:dyDescent="0.3">
      <c r="A14" t="s">
        <v>48</v>
      </c>
      <c r="B14" s="2">
        <f>I10</f>
        <v>0.52533226639306696</v>
      </c>
    </row>
    <row r="15" spans="1:16" x14ac:dyDescent="0.3">
      <c r="A15" t="s">
        <v>49</v>
      </c>
      <c r="B15" s="1">
        <v>4.2500000000000003E-2</v>
      </c>
    </row>
    <row r="16" spans="1:16" x14ac:dyDescent="0.3">
      <c r="A16" t="s">
        <v>50</v>
      </c>
      <c r="B16" s="1">
        <v>5.7000000000000002E-2</v>
      </c>
    </row>
    <row r="17" spans="1:4" x14ac:dyDescent="0.3">
      <c r="A17" s="5"/>
    </row>
    <row r="19" spans="1:4" x14ac:dyDescent="0.3">
      <c r="A19" s="76" t="s">
        <v>53</v>
      </c>
      <c r="B19" s="4">
        <f>AVERAGE(O5:O10)</f>
        <v>0.67210686864221192</v>
      </c>
    </row>
    <row r="21" spans="1:4" x14ac:dyDescent="0.3">
      <c r="A21" s="76" t="s">
        <v>51</v>
      </c>
      <c r="B21" s="4">
        <f>AVERAGE(M5:M10)</f>
        <v>4.5999999999999992E-2</v>
      </c>
      <c r="D21" s="5"/>
    </row>
    <row r="24" spans="1:4" x14ac:dyDescent="0.3">
      <c r="A24" s="76" t="s">
        <v>107</v>
      </c>
      <c r="B24" s="4">
        <f>AVERAGE(N5:N10)</f>
        <v>0.32789313135778803</v>
      </c>
    </row>
    <row r="26" spans="1:4" x14ac:dyDescent="0.3">
      <c r="A26" s="76" t="s">
        <v>42</v>
      </c>
      <c r="B26" s="4">
        <f>AVERAGE(E5:E10)</f>
        <v>0.23633333333333328</v>
      </c>
    </row>
    <row r="28" spans="1:4" x14ac:dyDescent="0.3">
      <c r="A28" s="76" t="s">
        <v>108</v>
      </c>
      <c r="B28" s="4">
        <f>(B13*B19)+(B24*B21)*(1-B26)</f>
        <v>6.0208517631094444E-2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7991-31D7-48C2-9008-5F94EBBEB4B7}">
  <dimension ref="A2:IM17"/>
  <sheetViews>
    <sheetView showGridLines="0" workbookViewId="0">
      <selection activeCell="F22" sqref="F22"/>
    </sheetView>
  </sheetViews>
  <sheetFormatPr defaultColWidth="14.6640625" defaultRowHeight="14.4" x14ac:dyDescent="0.3"/>
  <cols>
    <col min="1" max="1" width="29.88671875" customWidth="1"/>
  </cols>
  <sheetData>
    <row r="2" spans="1:247" x14ac:dyDescent="0.3">
      <c r="A2" s="15" t="s">
        <v>56</v>
      </c>
      <c r="B2" s="15" t="s">
        <v>57</v>
      </c>
      <c r="C2" s="15" t="s">
        <v>57</v>
      </c>
      <c r="D2" s="15" t="s">
        <v>57</v>
      </c>
      <c r="E2" s="15" t="s">
        <v>57</v>
      </c>
      <c r="F2" s="15" t="s">
        <v>57</v>
      </c>
      <c r="G2" s="15" t="s">
        <v>57</v>
      </c>
      <c r="H2" s="15" t="s">
        <v>57</v>
      </c>
      <c r="I2" s="15" t="s">
        <v>57</v>
      </c>
      <c r="J2" s="15" t="s">
        <v>57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</row>
    <row r="3" spans="1:247" ht="31.8" x14ac:dyDescent="0.3">
      <c r="A3" s="52" t="s">
        <v>58</v>
      </c>
      <c r="B3" s="52" t="s">
        <v>59</v>
      </c>
      <c r="C3" s="52" t="s">
        <v>60</v>
      </c>
      <c r="D3" s="52" t="s">
        <v>61</v>
      </c>
      <c r="E3" s="52" t="s">
        <v>62</v>
      </c>
      <c r="F3" s="52" t="s">
        <v>63</v>
      </c>
      <c r="G3" s="52" t="s">
        <v>64</v>
      </c>
      <c r="H3" s="52" t="s">
        <v>65</v>
      </c>
      <c r="I3" s="52" t="s">
        <v>66</v>
      </c>
      <c r="J3" s="52" t="s">
        <v>79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</row>
    <row r="4" spans="1:247" x14ac:dyDescent="0.3">
      <c r="A4" s="52" t="s">
        <v>67</v>
      </c>
      <c r="B4" s="55">
        <v>28.91</v>
      </c>
      <c r="C4" s="55">
        <v>478</v>
      </c>
      <c r="D4" s="55">
        <v>13819.1</v>
      </c>
      <c r="E4" s="55">
        <v>9008.1</v>
      </c>
      <c r="F4" s="55">
        <v>22897.4</v>
      </c>
      <c r="G4" s="55">
        <v>12171.9</v>
      </c>
      <c r="H4" s="55">
        <v>2271.6999999999998</v>
      </c>
      <c r="I4" s="55">
        <v>2.64</v>
      </c>
      <c r="J4" s="55">
        <f t="shared" ref="J4:J9" si="0">F4/H4</f>
        <v>10.07941189417617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</row>
    <row r="5" spans="1:247" ht="21.6" x14ac:dyDescent="0.3">
      <c r="A5" s="52" t="s">
        <v>69</v>
      </c>
      <c r="B5" s="55">
        <v>34.35</v>
      </c>
      <c r="C5" s="55">
        <v>547.70000000000005</v>
      </c>
      <c r="D5" s="55">
        <v>18813.099999999999</v>
      </c>
      <c r="E5" s="55">
        <v>2329.3000000000002</v>
      </c>
      <c r="F5" s="55">
        <v>21146.799999999999</v>
      </c>
      <c r="G5" s="55">
        <v>12135.9</v>
      </c>
      <c r="H5" s="55">
        <v>1308</v>
      </c>
      <c r="I5" s="55">
        <v>1.6</v>
      </c>
      <c r="J5" s="55">
        <f t="shared" si="0"/>
        <v>16.167278287461773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</row>
    <row r="6" spans="1:247" x14ac:dyDescent="0.3">
      <c r="A6" s="52" t="s">
        <v>70</v>
      </c>
      <c r="B6" s="55">
        <v>55.89</v>
      </c>
      <c r="C6" s="55">
        <v>341.8</v>
      </c>
      <c r="D6" s="55">
        <v>19100.900000000001</v>
      </c>
      <c r="E6" s="55">
        <v>6243</v>
      </c>
      <c r="F6" s="55">
        <v>25537.9</v>
      </c>
      <c r="G6" s="55">
        <v>13122</v>
      </c>
      <c r="H6" s="55">
        <v>1820</v>
      </c>
      <c r="I6" s="55">
        <v>3.58</v>
      </c>
      <c r="J6" s="55">
        <f t="shared" si="0"/>
        <v>14.031813186813187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</row>
    <row r="7" spans="1:247" ht="21.6" x14ac:dyDescent="0.3">
      <c r="A7" s="52" t="s">
        <v>71</v>
      </c>
      <c r="B7" s="55">
        <v>63.91</v>
      </c>
      <c r="C7" s="55">
        <v>101.2</v>
      </c>
      <c r="D7" s="55">
        <v>6468.5</v>
      </c>
      <c r="E7" s="55">
        <v>1458.9</v>
      </c>
      <c r="F7" s="55">
        <v>7927.3</v>
      </c>
      <c r="G7" s="55">
        <v>6837.4</v>
      </c>
      <c r="H7" s="55">
        <v>518.6</v>
      </c>
      <c r="I7" s="55">
        <v>2.94</v>
      </c>
      <c r="J7" s="55">
        <f t="shared" si="0"/>
        <v>15.285962205939066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</row>
    <row r="8" spans="1:247" x14ac:dyDescent="0.3">
      <c r="A8" s="52" t="s">
        <v>72</v>
      </c>
      <c r="B8" s="55">
        <v>11.96</v>
      </c>
      <c r="C8" s="55">
        <v>94.9</v>
      </c>
      <c r="D8" s="55">
        <v>1135.4000000000001</v>
      </c>
      <c r="E8" s="55">
        <v>1149.5999999999999</v>
      </c>
      <c r="F8" s="55">
        <v>2456.3000000000002</v>
      </c>
      <c r="G8" s="55">
        <v>8245.2999999999993</v>
      </c>
      <c r="H8" s="55">
        <v>324.39999999999998</v>
      </c>
      <c r="I8" s="55">
        <v>1.2</v>
      </c>
      <c r="J8" s="55">
        <f t="shared" si="0"/>
        <v>7.5718249075215791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</row>
    <row r="9" spans="1:247" x14ac:dyDescent="0.3">
      <c r="A9" s="52" t="s">
        <v>73</v>
      </c>
      <c r="B9" s="55">
        <v>58.17</v>
      </c>
      <c r="C9" s="55">
        <v>356.3</v>
      </c>
      <c r="D9" s="55">
        <v>20728.8</v>
      </c>
      <c r="E9" s="55">
        <v>8086</v>
      </c>
      <c r="F9" s="55">
        <v>28952.799999999999</v>
      </c>
      <c r="G9" s="55">
        <v>52940</v>
      </c>
      <c r="H9" s="55">
        <v>2080</v>
      </c>
      <c r="I9" s="55">
        <v>2.63</v>
      </c>
      <c r="J9" s="55">
        <f t="shared" si="0"/>
        <v>13.919615384615383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</row>
    <row r="10" spans="1:247" x14ac:dyDescent="0.3">
      <c r="A10" s="51"/>
      <c r="B10" s="53"/>
      <c r="C10" s="53"/>
      <c r="D10" s="53"/>
      <c r="E10" s="53"/>
      <c r="F10" s="53"/>
      <c r="G10" s="53"/>
      <c r="H10" s="53"/>
      <c r="I10" s="53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</row>
    <row r="11" spans="1:247" ht="31.8" x14ac:dyDescent="0.3">
      <c r="A11" s="52" t="s">
        <v>74</v>
      </c>
      <c r="B11" s="54" t="s">
        <v>59</v>
      </c>
      <c r="C11" s="54" t="s">
        <v>60</v>
      </c>
      <c r="D11" s="54" t="s">
        <v>61</v>
      </c>
      <c r="E11" s="54" t="s">
        <v>62</v>
      </c>
      <c r="F11" s="54" t="s">
        <v>63</v>
      </c>
      <c r="G11" s="54" t="s">
        <v>64</v>
      </c>
      <c r="H11" s="54" t="s">
        <v>65</v>
      </c>
      <c r="I11" s="54" t="s">
        <v>66</v>
      </c>
      <c r="J11" s="54" t="s">
        <v>66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</row>
    <row r="12" spans="1:247" x14ac:dyDescent="0.3">
      <c r="A12" s="52" t="s">
        <v>75</v>
      </c>
      <c r="B12" s="55">
        <v>63.91</v>
      </c>
      <c r="C12" s="55">
        <v>547.70000000000005</v>
      </c>
      <c r="D12" s="55">
        <v>19100.900000000001</v>
      </c>
      <c r="E12" s="55">
        <v>9008.1</v>
      </c>
      <c r="F12" s="55">
        <v>25537.9</v>
      </c>
      <c r="G12" s="55">
        <v>13122</v>
      </c>
      <c r="H12" s="55">
        <v>2271.6999999999998</v>
      </c>
      <c r="I12" s="55">
        <v>3.58</v>
      </c>
      <c r="J12" s="55">
        <f>MAX(J4:J9)</f>
        <v>16.167278287461773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</row>
    <row r="13" spans="1:247" x14ac:dyDescent="0.3">
      <c r="A13" s="52" t="s">
        <v>76</v>
      </c>
      <c r="B13" s="55">
        <v>11.96</v>
      </c>
      <c r="C13" s="55">
        <v>94.9</v>
      </c>
      <c r="D13" s="55">
        <v>1135.4000000000001</v>
      </c>
      <c r="E13" s="55">
        <v>1149.5999999999999</v>
      </c>
      <c r="F13" s="55">
        <v>2456.3000000000002</v>
      </c>
      <c r="G13" s="55">
        <v>6837.4</v>
      </c>
      <c r="H13" s="55">
        <v>324.39999999999998</v>
      </c>
      <c r="I13" s="55">
        <v>1.2</v>
      </c>
      <c r="J13" s="55">
        <f>MIN(J4:J9)</f>
        <v>7.5718249075215791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</row>
    <row r="14" spans="1:247" x14ac:dyDescent="0.3">
      <c r="A14" s="52" t="s">
        <v>77</v>
      </c>
      <c r="B14" s="55">
        <v>39</v>
      </c>
      <c r="C14" s="55">
        <v>312.7</v>
      </c>
      <c r="D14" s="55">
        <v>11867.4</v>
      </c>
      <c r="E14" s="55">
        <v>4037.8</v>
      </c>
      <c r="F14" s="55">
        <v>15993.2</v>
      </c>
      <c r="G14" s="55">
        <v>10502.5</v>
      </c>
      <c r="H14" s="55">
        <v>1248.5</v>
      </c>
      <c r="I14" s="55">
        <v>2.39</v>
      </c>
      <c r="J14" s="55">
        <f>AVERAGE(J4:J9)</f>
        <v>12.842650977754525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</row>
    <row r="15" spans="1:247" x14ac:dyDescent="0.3">
      <c r="A15" s="52" t="s">
        <v>78</v>
      </c>
      <c r="B15" s="55">
        <v>34.35</v>
      </c>
      <c r="C15" s="55">
        <v>341.8</v>
      </c>
      <c r="D15" s="55">
        <v>13819.1</v>
      </c>
      <c r="E15" s="55">
        <v>2329.3000000000002</v>
      </c>
      <c r="F15" s="55">
        <v>21146.799999999999</v>
      </c>
      <c r="G15" s="55">
        <v>12135.9</v>
      </c>
      <c r="H15" s="55">
        <v>1308</v>
      </c>
      <c r="I15" s="55">
        <v>2.64</v>
      </c>
      <c r="J15" s="55">
        <f>MEDIAN(J4:J9)</f>
        <v>13.975714285714286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</row>
    <row r="16" spans="1:247" x14ac:dyDescent="0.3"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</row>
    <row r="17" spans="10:247" x14ac:dyDescent="0.3"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7F6A-D19C-4C00-B788-5C91C631E4C2}">
  <dimension ref="A2:M21"/>
  <sheetViews>
    <sheetView showGridLines="0" workbookViewId="0">
      <selection activeCell="I20" sqref="I20"/>
    </sheetView>
  </sheetViews>
  <sheetFormatPr defaultRowHeight="14.4" x14ac:dyDescent="0.3"/>
  <cols>
    <col min="1" max="9" width="15.6640625" customWidth="1"/>
  </cols>
  <sheetData>
    <row r="2" spans="1:13" x14ac:dyDescent="0.3">
      <c r="A2" s="79" t="s">
        <v>104</v>
      </c>
      <c r="B2" s="79"/>
      <c r="C2" s="79"/>
      <c r="D2" s="15"/>
      <c r="E2" s="15"/>
      <c r="F2" s="15"/>
      <c r="G2" s="15"/>
      <c r="H2" s="15"/>
      <c r="I2" s="15"/>
    </row>
    <row r="3" spans="1:13" ht="21.6" x14ac:dyDescent="0.3">
      <c r="A3" s="52" t="s">
        <v>80</v>
      </c>
      <c r="B3" s="52" t="s">
        <v>81</v>
      </c>
      <c r="C3" s="52" t="s">
        <v>82</v>
      </c>
      <c r="D3" s="52" t="s">
        <v>83</v>
      </c>
      <c r="E3" s="52" t="s">
        <v>84</v>
      </c>
      <c r="F3" s="52" t="s">
        <v>85</v>
      </c>
      <c r="G3" s="52" t="s">
        <v>86</v>
      </c>
      <c r="H3" s="52" t="s">
        <v>87</v>
      </c>
      <c r="I3" s="52" t="s">
        <v>88</v>
      </c>
    </row>
    <row r="4" spans="1:13" x14ac:dyDescent="0.3">
      <c r="A4" s="11" t="s">
        <v>89</v>
      </c>
      <c r="B4" s="11" t="s">
        <v>90</v>
      </c>
      <c r="C4" s="11" t="s">
        <v>91</v>
      </c>
      <c r="D4" s="11" t="s">
        <v>92</v>
      </c>
      <c r="E4" s="12" t="s">
        <v>68</v>
      </c>
      <c r="F4" s="11">
        <v>2456.3000000000002</v>
      </c>
      <c r="G4" s="11">
        <v>80.900000000000006</v>
      </c>
      <c r="H4" s="59">
        <v>0.3</v>
      </c>
      <c r="I4" s="59">
        <v>7.2</v>
      </c>
      <c r="J4" s="3"/>
      <c r="L4" s="59"/>
      <c r="M4" s="11"/>
    </row>
    <row r="5" spans="1:13" ht="21.6" x14ac:dyDescent="0.3">
      <c r="A5" s="11" t="s">
        <v>93</v>
      </c>
      <c r="B5" s="11" t="s">
        <v>94</v>
      </c>
      <c r="C5" s="11" t="s">
        <v>95</v>
      </c>
      <c r="D5" s="11" t="s">
        <v>96</v>
      </c>
      <c r="E5" s="11" t="s">
        <v>97</v>
      </c>
      <c r="F5" s="11">
        <v>1973.3</v>
      </c>
      <c r="G5" s="11">
        <v>126.7</v>
      </c>
      <c r="H5" s="59">
        <v>1.4</v>
      </c>
      <c r="I5" s="59">
        <v>32.1</v>
      </c>
      <c r="L5" s="11"/>
      <c r="M5" s="11"/>
    </row>
    <row r="6" spans="1:13" x14ac:dyDescent="0.3">
      <c r="A6" s="11" t="s">
        <v>98</v>
      </c>
      <c r="B6" s="11" t="s">
        <v>99</v>
      </c>
      <c r="C6" s="11" t="s">
        <v>100</v>
      </c>
      <c r="D6" s="11" t="s">
        <v>101</v>
      </c>
      <c r="E6" s="12" t="s">
        <v>68</v>
      </c>
      <c r="F6" s="11">
        <v>16928.599999999999</v>
      </c>
      <c r="G6" s="11">
        <v>131.69999999999999</v>
      </c>
      <c r="H6" s="59" t="s">
        <v>139</v>
      </c>
      <c r="I6" s="59">
        <v>17.8</v>
      </c>
      <c r="L6" s="11"/>
      <c r="M6" s="11"/>
    </row>
    <row r="7" spans="1:13" ht="21.6" x14ac:dyDescent="0.3">
      <c r="A7" s="11" t="s">
        <v>109</v>
      </c>
      <c r="B7" s="11" t="s">
        <v>110</v>
      </c>
      <c r="C7" s="11" t="s">
        <v>111</v>
      </c>
      <c r="D7" s="12" t="s">
        <v>68</v>
      </c>
      <c r="E7" s="11" t="s">
        <v>112</v>
      </c>
      <c r="F7" s="11">
        <v>405.5</v>
      </c>
      <c r="G7" s="11">
        <v>97.5</v>
      </c>
      <c r="H7" s="59">
        <v>6.9</v>
      </c>
      <c r="I7" s="59" t="s">
        <v>113</v>
      </c>
      <c r="L7" s="11"/>
      <c r="M7" s="11"/>
    </row>
    <row r="8" spans="1:13" x14ac:dyDescent="0.3">
      <c r="A8" s="11" t="s">
        <v>114</v>
      </c>
      <c r="B8" s="11" t="s">
        <v>115</v>
      </c>
      <c r="C8" s="11" t="s">
        <v>116</v>
      </c>
      <c r="D8" s="12" t="s">
        <v>68</v>
      </c>
      <c r="E8" s="11" t="s">
        <v>117</v>
      </c>
      <c r="F8" s="11">
        <v>12017</v>
      </c>
      <c r="G8" s="11">
        <v>406.2</v>
      </c>
      <c r="H8" s="59">
        <v>3</v>
      </c>
      <c r="I8" s="59">
        <v>11.7</v>
      </c>
      <c r="L8" s="11"/>
      <c r="M8" s="11"/>
    </row>
    <row r="9" spans="1:13" x14ac:dyDescent="0.3">
      <c r="A9" s="11" t="s">
        <v>118</v>
      </c>
      <c r="B9" s="11" t="s">
        <v>119</v>
      </c>
      <c r="C9" s="11" t="s">
        <v>120</v>
      </c>
      <c r="D9" s="11" t="s">
        <v>121</v>
      </c>
      <c r="E9" s="12" t="s">
        <v>68</v>
      </c>
      <c r="F9" s="11">
        <v>658.4</v>
      </c>
      <c r="G9" s="11">
        <v>2.6</v>
      </c>
      <c r="H9" s="59">
        <v>1.5</v>
      </c>
      <c r="I9" s="59">
        <v>10.7</v>
      </c>
      <c r="L9" s="11"/>
      <c r="M9" s="11"/>
    </row>
    <row r="10" spans="1:13" x14ac:dyDescent="0.3">
      <c r="A10" s="11" t="s">
        <v>122</v>
      </c>
      <c r="B10" s="11" t="s">
        <v>123</v>
      </c>
      <c r="C10" s="11" t="s">
        <v>124</v>
      </c>
      <c r="D10" s="11" t="s">
        <v>125</v>
      </c>
      <c r="E10" s="11" t="s">
        <v>126</v>
      </c>
      <c r="F10" s="11">
        <v>1440</v>
      </c>
      <c r="G10" s="11">
        <v>40.299999999999997</v>
      </c>
      <c r="H10" s="59">
        <v>2.9</v>
      </c>
      <c r="I10" s="59">
        <v>10.5</v>
      </c>
      <c r="L10" s="11"/>
      <c r="M10" s="11"/>
    </row>
    <row r="11" spans="1:13" ht="31.8" x14ac:dyDescent="0.3">
      <c r="A11" s="11" t="s">
        <v>127</v>
      </c>
      <c r="B11" s="11" t="s">
        <v>128</v>
      </c>
      <c r="C11" s="11" t="s">
        <v>129</v>
      </c>
      <c r="D11" s="11" t="s">
        <v>130</v>
      </c>
      <c r="E11" s="12" t="s">
        <v>68</v>
      </c>
      <c r="F11" s="11">
        <v>411.3</v>
      </c>
      <c r="G11" s="11">
        <v>13.2</v>
      </c>
      <c r="H11" s="59">
        <v>3.7</v>
      </c>
      <c r="I11" s="60" t="s">
        <v>68</v>
      </c>
      <c r="L11" s="11"/>
      <c r="M11" s="12"/>
    </row>
    <row r="12" spans="1:13" ht="31.8" x14ac:dyDescent="0.3">
      <c r="A12" s="11" t="s">
        <v>131</v>
      </c>
      <c r="B12" s="11" t="s">
        <v>132</v>
      </c>
      <c r="C12" s="11" t="s">
        <v>133</v>
      </c>
      <c r="D12" s="12" t="s">
        <v>68</v>
      </c>
      <c r="E12" s="11" t="s">
        <v>134</v>
      </c>
      <c r="F12" s="11">
        <v>583.6</v>
      </c>
      <c r="G12" s="11">
        <v>9</v>
      </c>
      <c r="H12" s="59">
        <v>0.8</v>
      </c>
      <c r="I12" s="59">
        <v>12.2</v>
      </c>
      <c r="L12" s="11"/>
      <c r="M12" s="11"/>
    </row>
    <row r="13" spans="1:13" x14ac:dyDescent="0.3">
      <c r="A13" s="11" t="s">
        <v>135</v>
      </c>
      <c r="B13" s="11" t="s">
        <v>136</v>
      </c>
      <c r="C13" s="11" t="s">
        <v>137</v>
      </c>
      <c r="D13" s="12" t="s">
        <v>68</v>
      </c>
      <c r="E13" s="11" t="s">
        <v>116</v>
      </c>
      <c r="F13" s="11">
        <v>1151.9000000000001</v>
      </c>
      <c r="G13" s="11">
        <v>136.9</v>
      </c>
      <c r="H13" s="59">
        <v>1.3</v>
      </c>
      <c r="I13" s="59">
        <v>9.8000000000000007</v>
      </c>
      <c r="L13" s="11"/>
      <c r="M13" s="11"/>
    </row>
    <row r="14" spans="1:13" x14ac:dyDescent="0.3">
      <c r="A14" s="11"/>
      <c r="B14" s="11"/>
      <c r="C14" s="11"/>
      <c r="D14" s="11"/>
      <c r="E14" s="12"/>
      <c r="F14" s="11"/>
      <c r="G14" s="11"/>
      <c r="I14" s="11"/>
    </row>
    <row r="15" spans="1:13" x14ac:dyDescent="0.3">
      <c r="A15" s="11"/>
      <c r="B15" s="11"/>
      <c r="C15" s="11"/>
      <c r="D15" s="11"/>
      <c r="E15" s="56" t="s">
        <v>102</v>
      </c>
      <c r="F15" s="61">
        <f>MAX(F4:F13)</f>
        <v>16928.599999999999</v>
      </c>
      <c r="G15" s="61">
        <f>MAX(G4:G13)</f>
        <v>406.2</v>
      </c>
      <c r="H15" s="61">
        <f>MAX(H4:H13)</f>
        <v>6.9</v>
      </c>
      <c r="I15" s="61">
        <f>MAX(I4:I13)</f>
        <v>32.1</v>
      </c>
    </row>
    <row r="16" spans="1:13" x14ac:dyDescent="0.3">
      <c r="A16" s="57"/>
      <c r="B16" s="57"/>
      <c r="C16" s="57"/>
      <c r="D16" s="11"/>
      <c r="E16" s="58" t="s">
        <v>78</v>
      </c>
      <c r="F16" s="62">
        <f>MEDIAN(F4:F13)</f>
        <v>1295.95</v>
      </c>
      <c r="G16" s="62">
        <f>MEDIAN(G4:G13)</f>
        <v>89.2</v>
      </c>
      <c r="H16" s="62">
        <f>MEDIAN(H4:H13)</f>
        <v>1.5</v>
      </c>
      <c r="I16" s="62">
        <f>MEDIAN(I4:I13)</f>
        <v>11.2</v>
      </c>
    </row>
    <row r="17" spans="1:9" x14ac:dyDescent="0.3">
      <c r="A17" s="57"/>
      <c r="B17" s="57"/>
      <c r="C17" s="57"/>
      <c r="D17" s="11"/>
      <c r="E17" s="58" t="s">
        <v>77</v>
      </c>
      <c r="F17" s="62">
        <f>AVERAGE(F4:F13)</f>
        <v>3802.59</v>
      </c>
      <c r="G17" s="62">
        <f>AVERAGE(G4:G13)</f>
        <v>104.5</v>
      </c>
      <c r="H17" s="62">
        <f>AVERAGE(H4:H13)</f>
        <v>2.4222222222222225</v>
      </c>
      <c r="I17" s="62">
        <f>AVERAGE(I4:I13)</f>
        <v>14.000000000000002</v>
      </c>
    </row>
    <row r="18" spans="1:9" x14ac:dyDescent="0.3">
      <c r="A18" s="57"/>
      <c r="B18" s="57"/>
      <c r="C18" s="57"/>
      <c r="D18" s="11"/>
      <c r="E18" s="58" t="s">
        <v>103</v>
      </c>
      <c r="F18" s="62">
        <f>MIN(F4:F13)</f>
        <v>405.5</v>
      </c>
      <c r="G18" s="62">
        <f>MIN(G4:G13)</f>
        <v>2.6</v>
      </c>
      <c r="H18" s="62">
        <f>MIN(H4:H13)</f>
        <v>0.3</v>
      </c>
      <c r="I18" s="62">
        <f>MIN(I4:I13)</f>
        <v>7.2</v>
      </c>
    </row>
    <row r="19" spans="1:9" x14ac:dyDescent="0.3">
      <c r="D19" s="57"/>
    </row>
    <row r="20" spans="1:9" x14ac:dyDescent="0.3">
      <c r="D20" s="57"/>
    </row>
    <row r="21" spans="1:9" x14ac:dyDescent="0.3">
      <c r="D21" s="57"/>
    </row>
  </sheetData>
  <mergeCells count="1"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ef5732-d6f8-4f15-aa78-fa1a98cd3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CA95D627D2746B52A97438C829833" ma:contentTypeVersion="8" ma:contentTypeDescription="Create a new document." ma:contentTypeScope="" ma:versionID="0a15c8e7b0682af0254612e67199d365">
  <xsd:schema xmlns:xsd="http://www.w3.org/2001/XMLSchema" xmlns:xs="http://www.w3.org/2001/XMLSchema" xmlns:p="http://schemas.microsoft.com/office/2006/metadata/properties" xmlns:ns3="1eef5732-d6f8-4f15-aa78-fa1a98cd35f9" xmlns:ns4="eaf859f1-076a-4b0c-b8a4-c805af2a1035" targetNamespace="http://schemas.microsoft.com/office/2006/metadata/properties" ma:root="true" ma:fieldsID="672a56606add0aa005564799e15ba962" ns3:_="" ns4:_="">
    <xsd:import namespace="1eef5732-d6f8-4f15-aa78-fa1a98cd35f9"/>
    <xsd:import namespace="eaf859f1-076a-4b0c-b8a4-c805af2a10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f5732-d6f8-4f15-aa78-fa1a98cd3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859f1-076a-4b0c-b8a4-c805af2a103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A69834-5638-4E14-9F19-454D8CEF2AE0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eaf859f1-076a-4b0c-b8a4-c805af2a1035"/>
    <ds:schemaRef ds:uri="1eef5732-d6f8-4f15-aa78-fa1a98cd35f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7293C9A-DF7F-477F-9349-29A41137E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ef5732-d6f8-4f15-aa78-fa1a98cd35f9"/>
    <ds:schemaRef ds:uri="eaf859f1-076a-4b0c-b8a4-c805af2a1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8D6777-9BA2-4834-A166-FCF6B0081B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 Forma</vt:lpstr>
      <vt:lpstr>WACC</vt:lpstr>
      <vt:lpstr>Comparable Companies</vt:lpstr>
      <vt:lpstr>Precedent 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DelVecchio, Chris</dc:creator>
  <cp:keywords/>
  <dc:description/>
  <cp:lastModifiedBy>Goldberg, Leo</cp:lastModifiedBy>
  <cp:revision/>
  <dcterms:created xsi:type="dcterms:W3CDTF">2024-03-26T04:16:03Z</dcterms:created>
  <dcterms:modified xsi:type="dcterms:W3CDTF">2024-03-27T23:22:53Z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0x0101008F8CA95D627D2746B52A97438C829833</vt:lpwstr>
  </property>
</Properties>
</file>