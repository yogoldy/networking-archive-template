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Lewicki\Dropbox\Adventis CG Training LLC\Boot Camp Documents\Financial Model #2\2019-2020 Academic Year (PepsiCo)\Documents for Boot Camp\"/>
    </mc:Choice>
  </mc:AlternateContent>
  <xr:revisionPtr revIDLastSave="0" documentId="13_ncr:1_{38E211CF-36E7-4D41-ADF6-5304B0C95DF1}" xr6:coauthVersionLast="45" xr6:coauthVersionMax="45" xr10:uidLastSave="{00000000-0000-0000-0000-000000000000}"/>
  <bookViews>
    <workbookView xWindow="-120" yWindow="-120" windowWidth="25440" windowHeight="15390" tabRatio="832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10" r:id="rId8"/>
    <sheet name="Interest" sheetId="11" r:id="rId9"/>
  </sheets>
  <definedNames>
    <definedName name="_xlnm._FilterDatabase" localSheetId="1" hidden="1">'Income Statement'!$H$17:$L$17</definedName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Sheet'!$A$1:$L$44</definedName>
    <definedName name="_xlnm.Print_Area" localSheetId="3">'Cash Flow Statement'!$A$1:$L$40</definedName>
    <definedName name="_xlnm.Print_Area" localSheetId="7">Debt!$A$1:$L$45</definedName>
    <definedName name="_xlnm.Print_Area" localSheetId="6">Equity!$A$1:$L$45</definedName>
    <definedName name="_xlnm.Print_Area" localSheetId="1">'Income Statement'!$A$1:$L$34</definedName>
    <definedName name="_xlnm.Print_Area" localSheetId="8">Interest!$A$1:$L$38</definedName>
    <definedName name="_xlnm.Print_Area" localSheetId="4">'PP&amp;E'!$A$1:$L$24</definedName>
    <definedName name="_xlnm.Print_Area" localSheetId="5">'Working Capital'!$A$1:$L$32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2" l="1"/>
  <c r="G27" i="4"/>
  <c r="H26" i="4"/>
  <c r="H35" i="11"/>
  <c r="F11" i="2"/>
  <c r="F10" i="8"/>
  <c r="F12" i="2"/>
  <c r="F11" i="8"/>
  <c r="F12" i="8"/>
  <c r="F14" i="8"/>
  <c r="F15" i="8"/>
  <c r="F16" i="8"/>
  <c r="F18" i="8"/>
  <c r="E10" i="8"/>
  <c r="E11" i="8"/>
  <c r="E12" i="8"/>
  <c r="E14" i="8"/>
  <c r="E15" i="8"/>
  <c r="E16" i="8"/>
  <c r="E18" i="8"/>
  <c r="F19" i="8"/>
  <c r="G12" i="2"/>
  <c r="F10" i="2"/>
  <c r="E22" i="8"/>
  <c r="E26" i="8"/>
  <c r="E25" i="8"/>
  <c r="E24" i="8"/>
  <c r="E23" i="8"/>
  <c r="E36" i="2"/>
  <c r="E14" i="1"/>
  <c r="E20" i="1"/>
  <c r="E22" i="1"/>
  <c r="E25" i="1"/>
  <c r="E33" i="2"/>
  <c r="E35" i="2"/>
  <c r="E21" i="2"/>
  <c r="E34" i="2"/>
  <c r="E13" i="2"/>
  <c r="E17" i="2"/>
  <c r="E25" i="2"/>
  <c r="E28" i="2"/>
  <c r="E30" i="2"/>
  <c r="F13" i="2"/>
  <c r="F17" i="2"/>
  <c r="L30" i="10"/>
  <c r="L41" i="10"/>
  <c r="L21" i="4"/>
  <c r="K30" i="10"/>
  <c r="K41" i="10"/>
  <c r="K21" i="4"/>
  <c r="J30" i="10"/>
  <c r="J41" i="10"/>
  <c r="J21" i="4"/>
  <c r="I30" i="10"/>
  <c r="I41" i="10"/>
  <c r="I21" i="4"/>
  <c r="H30" i="10"/>
  <c r="H41" i="10"/>
  <c r="H21" i="4"/>
  <c r="H11" i="10"/>
  <c r="H36" i="10"/>
  <c r="H10" i="10"/>
  <c r="H23" i="11"/>
  <c r="H16" i="10"/>
  <c r="L20" i="10"/>
  <c r="K20" i="10"/>
  <c r="J20" i="10"/>
  <c r="I20" i="10"/>
  <c r="H20" i="10"/>
  <c r="H12" i="10"/>
  <c r="G37" i="10"/>
  <c r="G14" i="6"/>
  <c r="H10" i="6"/>
  <c r="G13" i="7"/>
  <c r="H10" i="7"/>
  <c r="H10" i="1"/>
  <c r="H16" i="7"/>
  <c r="H11" i="7"/>
  <c r="H12" i="7"/>
  <c r="H13" i="7"/>
  <c r="I10" i="7"/>
  <c r="I10" i="1"/>
  <c r="I16" i="7"/>
  <c r="I11" i="7"/>
  <c r="I12" i="7"/>
  <c r="I13" i="7"/>
  <c r="J10" i="7"/>
  <c r="J10" i="1"/>
  <c r="J16" i="7"/>
  <c r="J11" i="7"/>
  <c r="J12" i="7"/>
  <c r="J13" i="7"/>
  <c r="K10" i="7"/>
  <c r="K10" i="1"/>
  <c r="K16" i="7"/>
  <c r="G36" i="2"/>
  <c r="E25" i="6"/>
  <c r="E26" i="6"/>
  <c r="E30" i="6"/>
  <c r="E31" i="6"/>
  <c r="E35" i="6"/>
  <c r="G14" i="1"/>
  <c r="G20" i="1"/>
  <c r="G22" i="1"/>
  <c r="G25" i="1"/>
  <c r="G25" i="6"/>
  <c r="G26" i="6"/>
  <c r="G30" i="6"/>
  <c r="G31" i="6"/>
  <c r="G35" i="6"/>
  <c r="F14" i="1"/>
  <c r="F20" i="1"/>
  <c r="F22" i="1"/>
  <c r="F25" i="1"/>
  <c r="F25" i="6"/>
  <c r="F26" i="6"/>
  <c r="F30" i="6"/>
  <c r="F31" i="6"/>
  <c r="F35" i="6"/>
  <c r="H15" i="4"/>
  <c r="H16" i="4"/>
  <c r="H18" i="10"/>
  <c r="H19" i="4"/>
  <c r="I15" i="4"/>
  <c r="I16" i="4"/>
  <c r="I18" i="10"/>
  <c r="I19" i="4"/>
  <c r="J15" i="4"/>
  <c r="J16" i="4"/>
  <c r="J18" i="10"/>
  <c r="J19" i="4"/>
  <c r="K19" i="4"/>
  <c r="L19" i="4"/>
  <c r="I13" i="6"/>
  <c r="J13" i="6"/>
  <c r="K13" i="6"/>
  <c r="L13" i="6"/>
  <c r="H13" i="6"/>
  <c r="A1" i="2"/>
  <c r="A1" i="4"/>
  <c r="A1" i="6"/>
  <c r="A1" i="7"/>
  <c r="A1" i="8"/>
  <c r="A1" i="10"/>
  <c r="A1" i="11"/>
  <c r="E21" i="6"/>
  <c r="G11" i="1"/>
  <c r="F11" i="1"/>
  <c r="H14" i="1"/>
  <c r="H13" i="1"/>
  <c r="I14" i="1"/>
  <c r="I13" i="1"/>
  <c r="J14" i="1"/>
  <c r="J13" i="1"/>
  <c r="F36" i="2"/>
  <c r="F18" i="6"/>
  <c r="E39" i="6"/>
  <c r="E40" i="6"/>
  <c r="E44" i="6"/>
  <c r="F39" i="6"/>
  <c r="F40" i="6"/>
  <c r="G39" i="6"/>
  <c r="G40" i="6"/>
  <c r="G44" i="6"/>
  <c r="F21" i="6"/>
  <c r="G18" i="6"/>
  <c r="G21" i="6"/>
  <c r="H18" i="6"/>
  <c r="F44" i="6"/>
  <c r="G11" i="8"/>
  <c r="G22" i="8"/>
  <c r="G24" i="8"/>
  <c r="G15" i="8"/>
  <c r="G14" i="8"/>
  <c r="E16" i="7"/>
  <c r="E18" i="7"/>
  <c r="F16" i="7"/>
  <c r="F17" i="7"/>
  <c r="G16" i="7"/>
  <c r="G17" i="7"/>
  <c r="E17" i="7"/>
  <c r="F18" i="7"/>
  <c r="G18" i="7"/>
  <c r="F22" i="8"/>
  <c r="G10" i="8"/>
  <c r="G12" i="8"/>
  <c r="G16" i="8"/>
  <c r="G18" i="8"/>
  <c r="F21" i="2"/>
  <c r="F34" i="2"/>
  <c r="G21" i="2"/>
  <c r="G13" i="2"/>
  <c r="G17" i="2"/>
  <c r="G25" i="2"/>
  <c r="G28" i="2"/>
  <c r="G30" i="2"/>
  <c r="G34" i="2"/>
  <c r="F25" i="8"/>
  <c r="G25" i="8"/>
  <c r="F25" i="2"/>
  <c r="F28" i="2"/>
  <c r="F30" i="2"/>
  <c r="F26" i="8"/>
  <c r="G26" i="8"/>
  <c r="F24" i="8"/>
  <c r="F23" i="8"/>
  <c r="F15" i="1"/>
  <c r="E15" i="1"/>
  <c r="G15" i="1"/>
  <c r="E29" i="1"/>
  <c r="G29" i="1"/>
  <c r="F29" i="1"/>
  <c r="G26" i="1"/>
  <c r="F26" i="1"/>
  <c r="E26" i="1"/>
  <c r="G33" i="2"/>
  <c r="G35" i="2"/>
  <c r="F33" i="2"/>
  <c r="F35" i="2"/>
  <c r="I11" i="4"/>
  <c r="H22" i="8"/>
  <c r="H15" i="8"/>
  <c r="H20" i="2"/>
  <c r="I22" i="8"/>
  <c r="I11" i="8"/>
  <c r="I12" i="2"/>
  <c r="J22" i="8"/>
  <c r="J11" i="8"/>
  <c r="J12" i="2"/>
  <c r="H10" i="8"/>
  <c r="H11" i="2"/>
  <c r="H11" i="8"/>
  <c r="H12" i="2"/>
  <c r="H11" i="4"/>
  <c r="J10" i="8"/>
  <c r="J11" i="2"/>
  <c r="I10" i="8"/>
  <c r="I11" i="2"/>
  <c r="J11" i="4"/>
  <c r="I12" i="8"/>
  <c r="I14" i="8"/>
  <c r="I15" i="8"/>
  <c r="I16" i="8"/>
  <c r="I18" i="8"/>
  <c r="H12" i="8"/>
  <c r="H14" i="8"/>
  <c r="H16" i="8"/>
  <c r="H18" i="8"/>
  <c r="I19" i="8"/>
  <c r="I12" i="4"/>
  <c r="H15" i="2"/>
  <c r="I15" i="2"/>
  <c r="J15" i="2"/>
  <c r="H19" i="2"/>
  <c r="I19" i="2"/>
  <c r="I20" i="2"/>
  <c r="I21" i="2"/>
  <c r="J14" i="8"/>
  <c r="J19" i="2"/>
  <c r="J15" i="8"/>
  <c r="J20" i="2"/>
  <c r="J21" i="2"/>
  <c r="J16" i="8"/>
  <c r="H21" i="2"/>
  <c r="H31" i="4"/>
  <c r="H32" i="4"/>
  <c r="I31" i="4"/>
  <c r="I32" i="4"/>
  <c r="J31" i="4"/>
  <c r="J32" i="4"/>
  <c r="J42" i="10"/>
  <c r="I42" i="10"/>
  <c r="H42" i="10"/>
  <c r="G19" i="8"/>
  <c r="H19" i="8"/>
  <c r="H12" i="4"/>
  <c r="G23" i="8"/>
  <c r="I11" i="10"/>
  <c r="H26" i="11"/>
  <c r="H24" i="11"/>
  <c r="H11" i="11"/>
  <c r="H19" i="11"/>
  <c r="J12" i="8"/>
  <c r="J18" i="8"/>
  <c r="J19" i="8"/>
  <c r="J12" i="4"/>
  <c r="K11" i="7"/>
  <c r="K12" i="7"/>
  <c r="K11" i="4"/>
  <c r="K14" i="1"/>
  <c r="K31" i="4"/>
  <c r="K32" i="4"/>
  <c r="K42" i="10"/>
  <c r="L10" i="1"/>
  <c r="K22" i="8"/>
  <c r="I24" i="11"/>
  <c r="I36" i="10"/>
  <c r="K13" i="1"/>
  <c r="K11" i="8"/>
  <c r="K12" i="2"/>
  <c r="K14" i="8"/>
  <c r="K15" i="8"/>
  <c r="K20" i="2"/>
  <c r="K10" i="8"/>
  <c r="L16" i="7"/>
  <c r="L14" i="1"/>
  <c r="L22" i="8"/>
  <c r="K15" i="4"/>
  <c r="K16" i="4"/>
  <c r="K18" i="10"/>
  <c r="K13" i="7"/>
  <c r="J11" i="10"/>
  <c r="I26" i="11"/>
  <c r="I11" i="11"/>
  <c r="I19" i="11"/>
  <c r="L31" i="4"/>
  <c r="L13" i="1"/>
  <c r="L10" i="7"/>
  <c r="K15" i="2"/>
  <c r="L12" i="7"/>
  <c r="L11" i="4"/>
  <c r="L11" i="7"/>
  <c r="L15" i="4"/>
  <c r="L16" i="4"/>
  <c r="L18" i="10"/>
  <c r="K16" i="8"/>
  <c r="K19" i="2"/>
  <c r="K21" i="2"/>
  <c r="L10" i="8"/>
  <c r="L14" i="8"/>
  <c r="L15" i="8"/>
  <c r="L20" i="2"/>
  <c r="L11" i="8"/>
  <c r="L12" i="2"/>
  <c r="K11" i="2"/>
  <c r="K12" i="8"/>
  <c r="J36" i="10"/>
  <c r="J24" i="11"/>
  <c r="L13" i="7"/>
  <c r="L15" i="2"/>
  <c r="K18" i="8"/>
  <c r="K19" i="8"/>
  <c r="K12" i="4"/>
  <c r="L16" i="8"/>
  <c r="L19" i="2"/>
  <c r="L21" i="2"/>
  <c r="L12" i="8"/>
  <c r="L18" i="8"/>
  <c r="L19" i="8"/>
  <c r="L12" i="4"/>
  <c r="L11" i="2"/>
  <c r="L32" i="4"/>
  <c r="L42" i="10"/>
  <c r="J26" i="11"/>
  <c r="J11" i="11"/>
  <c r="J19" i="11"/>
  <c r="K11" i="10"/>
  <c r="K24" i="11"/>
  <c r="K36" i="10"/>
  <c r="L11" i="10"/>
  <c r="K26" i="11"/>
  <c r="K11" i="11"/>
  <c r="K19" i="11"/>
  <c r="L36" i="10"/>
  <c r="L26" i="11"/>
  <c r="L24" i="11"/>
  <c r="L11" i="11"/>
  <c r="L19" i="11"/>
  <c r="H10" i="2"/>
  <c r="I10" i="2"/>
  <c r="J10" i="2"/>
  <c r="K10" i="2"/>
  <c r="L10" i="2"/>
  <c r="H13" i="2"/>
  <c r="I13" i="2"/>
  <c r="J13" i="2"/>
  <c r="K13" i="2"/>
  <c r="L13" i="2"/>
  <c r="H17" i="2"/>
  <c r="I17" i="2"/>
  <c r="J17" i="2"/>
  <c r="K17" i="2"/>
  <c r="L17" i="2"/>
  <c r="H23" i="2"/>
  <c r="I23" i="2"/>
  <c r="J23" i="2"/>
  <c r="K23" i="2"/>
  <c r="L23" i="2"/>
  <c r="H25" i="2"/>
  <c r="I25" i="2"/>
  <c r="J25" i="2"/>
  <c r="K25" i="2"/>
  <c r="L25" i="2"/>
  <c r="H27" i="2"/>
  <c r="I27" i="2"/>
  <c r="J27" i="2"/>
  <c r="K27" i="2"/>
  <c r="L27" i="2"/>
  <c r="H28" i="2"/>
  <c r="I28" i="2"/>
  <c r="J28" i="2"/>
  <c r="K28" i="2"/>
  <c r="L28" i="2"/>
  <c r="H30" i="2"/>
  <c r="I30" i="2"/>
  <c r="J30" i="2"/>
  <c r="K30" i="2"/>
  <c r="L30" i="2"/>
  <c r="H33" i="2"/>
  <c r="I33" i="2"/>
  <c r="J33" i="2"/>
  <c r="K33" i="2"/>
  <c r="L33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10" i="4"/>
  <c r="I10" i="4"/>
  <c r="J10" i="4"/>
  <c r="K10" i="4"/>
  <c r="L10" i="4"/>
  <c r="H13" i="4"/>
  <c r="I13" i="4"/>
  <c r="J13" i="4"/>
  <c r="K13" i="4"/>
  <c r="L13" i="4"/>
  <c r="H18" i="4"/>
  <c r="I18" i="4"/>
  <c r="J18" i="4"/>
  <c r="K18" i="4"/>
  <c r="L18" i="4"/>
  <c r="H20" i="4"/>
  <c r="I20" i="4"/>
  <c r="J20" i="4"/>
  <c r="K20" i="4"/>
  <c r="L20" i="4"/>
  <c r="H22" i="4"/>
  <c r="I22" i="4"/>
  <c r="J22" i="4"/>
  <c r="K22" i="4"/>
  <c r="L22" i="4"/>
  <c r="H24" i="4"/>
  <c r="I24" i="4"/>
  <c r="J24" i="4"/>
  <c r="K24" i="4"/>
  <c r="L24" i="4"/>
  <c r="I26" i="4"/>
  <c r="J26" i="4"/>
  <c r="K26" i="4"/>
  <c r="L26" i="4"/>
  <c r="H27" i="4"/>
  <c r="I27" i="4"/>
  <c r="J27" i="4"/>
  <c r="K27" i="4"/>
  <c r="L27" i="4"/>
  <c r="H30" i="4"/>
  <c r="I30" i="4"/>
  <c r="J30" i="4"/>
  <c r="K30" i="4"/>
  <c r="L30" i="4"/>
  <c r="I10" i="10"/>
  <c r="J10" i="10"/>
  <c r="K10" i="10"/>
  <c r="L10" i="10"/>
  <c r="I12" i="10"/>
  <c r="J12" i="10"/>
  <c r="K12" i="10"/>
  <c r="L12" i="10"/>
  <c r="I16" i="10"/>
  <c r="J16" i="10"/>
  <c r="K16" i="10"/>
  <c r="L16" i="10"/>
  <c r="H17" i="10"/>
  <c r="I17" i="10"/>
  <c r="J17" i="10"/>
  <c r="K17" i="10"/>
  <c r="L17" i="10"/>
  <c r="H19" i="10"/>
  <c r="I19" i="10"/>
  <c r="J19" i="10"/>
  <c r="K19" i="10"/>
  <c r="L19" i="10"/>
  <c r="H23" i="10"/>
  <c r="I23" i="10"/>
  <c r="J23" i="10"/>
  <c r="K23" i="10"/>
  <c r="L23" i="10"/>
  <c r="H25" i="10"/>
  <c r="I25" i="10"/>
  <c r="J25" i="10"/>
  <c r="K25" i="10"/>
  <c r="L25" i="10"/>
  <c r="H27" i="10"/>
  <c r="I27" i="10"/>
  <c r="J27" i="10"/>
  <c r="K27" i="10"/>
  <c r="L27" i="10"/>
  <c r="H29" i="10"/>
  <c r="I29" i="10"/>
  <c r="J29" i="10"/>
  <c r="K29" i="10"/>
  <c r="L29" i="10"/>
  <c r="H31" i="10"/>
  <c r="I31" i="10"/>
  <c r="J31" i="10"/>
  <c r="K31" i="10"/>
  <c r="L31" i="10"/>
  <c r="H35" i="10"/>
  <c r="I35" i="10"/>
  <c r="J35" i="10"/>
  <c r="K35" i="10"/>
  <c r="L35" i="10"/>
  <c r="H37" i="10"/>
  <c r="I37" i="10"/>
  <c r="J37" i="10"/>
  <c r="K37" i="10"/>
  <c r="L37" i="10"/>
  <c r="H40" i="10"/>
  <c r="I40" i="10"/>
  <c r="J40" i="10"/>
  <c r="K40" i="10"/>
  <c r="L40" i="10"/>
  <c r="H43" i="10"/>
  <c r="I43" i="10"/>
  <c r="J43" i="10"/>
  <c r="K43" i="10"/>
  <c r="L43" i="10"/>
  <c r="H44" i="10"/>
  <c r="I44" i="10"/>
  <c r="J44" i="10"/>
  <c r="K44" i="10"/>
  <c r="L44" i="10"/>
  <c r="H45" i="10"/>
  <c r="I45" i="10"/>
  <c r="J45" i="10"/>
  <c r="K45" i="10"/>
  <c r="L45" i="10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4" i="6"/>
  <c r="I14" i="6"/>
  <c r="J14" i="6"/>
  <c r="K14" i="6"/>
  <c r="L14" i="6"/>
  <c r="I18" i="6"/>
  <c r="J18" i="6"/>
  <c r="K18" i="6"/>
  <c r="L18" i="6"/>
  <c r="H19" i="6"/>
  <c r="I19" i="6"/>
  <c r="J19" i="6"/>
  <c r="K19" i="6"/>
  <c r="L19" i="6"/>
  <c r="H21" i="6"/>
  <c r="I21" i="6"/>
  <c r="J21" i="6"/>
  <c r="K21" i="6"/>
  <c r="L21" i="6"/>
  <c r="H24" i="6"/>
  <c r="I24" i="6"/>
  <c r="J24" i="6"/>
  <c r="K24" i="6"/>
  <c r="L24" i="6"/>
  <c r="H25" i="6"/>
  <c r="I25" i="6"/>
  <c r="J25" i="6"/>
  <c r="K25" i="6"/>
  <c r="L25" i="6"/>
  <c r="H26" i="6"/>
  <c r="I26" i="6"/>
  <c r="J26" i="6"/>
  <c r="K26" i="6"/>
  <c r="L26" i="6"/>
  <c r="H30" i="6"/>
  <c r="I30" i="6"/>
  <c r="J30" i="6"/>
  <c r="K30" i="6"/>
  <c r="L30" i="6"/>
  <c r="H31" i="6"/>
  <c r="I31" i="6"/>
  <c r="J31" i="6"/>
  <c r="K31" i="6"/>
  <c r="L31" i="6"/>
  <c r="H39" i="6"/>
  <c r="I39" i="6"/>
  <c r="J39" i="6"/>
  <c r="K39" i="6"/>
  <c r="L39" i="6"/>
  <c r="H41" i="6"/>
  <c r="I41" i="6"/>
  <c r="J41" i="6"/>
  <c r="K41" i="6"/>
  <c r="L41" i="6"/>
  <c r="H44" i="6"/>
  <c r="I44" i="6"/>
  <c r="J44" i="6"/>
  <c r="K44" i="6"/>
  <c r="L44" i="6"/>
  <c r="H17" i="1"/>
  <c r="I17" i="1"/>
  <c r="J17" i="1"/>
  <c r="K17" i="1"/>
  <c r="L17" i="1"/>
  <c r="H18" i="1"/>
  <c r="I18" i="1"/>
  <c r="J18" i="1"/>
  <c r="K18" i="1"/>
  <c r="L18" i="1"/>
  <c r="H20" i="1"/>
  <c r="I20" i="1"/>
  <c r="J20" i="1"/>
  <c r="K20" i="1"/>
  <c r="L20" i="1"/>
  <c r="H22" i="1"/>
  <c r="I22" i="1"/>
  <c r="J22" i="1"/>
  <c r="K22" i="1"/>
  <c r="L22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10" i="11"/>
  <c r="I10" i="11"/>
  <c r="J10" i="11"/>
  <c r="K10" i="11"/>
  <c r="L10" i="11"/>
  <c r="H12" i="11"/>
  <c r="I12" i="11"/>
  <c r="J12" i="11"/>
  <c r="K12" i="11"/>
  <c r="L12" i="11"/>
  <c r="H16" i="11"/>
  <c r="I16" i="11"/>
  <c r="J16" i="11"/>
  <c r="K16" i="11"/>
  <c r="L16" i="11"/>
  <c r="H18" i="11"/>
  <c r="I18" i="11"/>
  <c r="J18" i="11"/>
  <c r="K18" i="11"/>
  <c r="L18" i="11"/>
  <c r="H20" i="11"/>
  <c r="I20" i="11"/>
  <c r="J20" i="11"/>
  <c r="K20" i="11"/>
  <c r="L20" i="11"/>
  <c r="I23" i="11"/>
  <c r="J23" i="11"/>
  <c r="K23" i="11"/>
  <c r="L23" i="11"/>
  <c r="H25" i="11"/>
  <c r="I25" i="11"/>
  <c r="J25" i="11"/>
  <c r="K25" i="11"/>
  <c r="L25" i="11"/>
  <c r="H30" i="11"/>
  <c r="I30" i="11"/>
  <c r="J30" i="11"/>
  <c r="K30" i="11"/>
  <c r="L30" i="11"/>
  <c r="H32" i="11"/>
  <c r="I32" i="11"/>
  <c r="J32" i="11"/>
  <c r="K32" i="11"/>
  <c r="L32" i="11"/>
  <c r="I35" i="11"/>
  <c r="J35" i="11"/>
  <c r="K35" i="11"/>
  <c r="L35" i="11"/>
  <c r="H36" i="11"/>
  <c r="I36" i="11"/>
  <c r="J36" i="11"/>
  <c r="K36" i="11"/>
  <c r="L36" i="11"/>
</calcChain>
</file>

<file path=xl/sharedStrings.xml><?xml version="1.0" encoding="utf-8"?>
<sst xmlns="http://schemas.openxmlformats.org/spreadsheetml/2006/main" count="373" uniqueCount="230">
  <si>
    <t>Income Statement ($ in Millions)</t>
  </si>
  <si>
    <t>Income Statement</t>
  </si>
  <si>
    <t>Balance Sheet ($ in Millions)</t>
  </si>
  <si>
    <t>Balance Sheet</t>
  </si>
  <si>
    <t>Cash Flow Statement ($ in Millions)</t>
  </si>
  <si>
    <t>Cash Flow Statement</t>
  </si>
  <si>
    <t>Equity Schedule</t>
  </si>
  <si>
    <t>Working Capital Schedule</t>
  </si>
  <si>
    <t>Interest Expense Schedule</t>
  </si>
  <si>
    <t>Equity Schedule ($ in Millions)</t>
  </si>
  <si>
    <t>Working Capital Schedule ($ in Millions)</t>
  </si>
  <si>
    <t>Debt Schedule ($ in Millions)</t>
  </si>
  <si>
    <t>% Growth</t>
  </si>
  <si>
    <t>Metrics &amp; Drivers</t>
  </si>
  <si>
    <t>Corporate Tax Rate</t>
  </si>
  <si>
    <t>Cash and Cash Equivalents</t>
  </si>
  <si>
    <t>Total Current Assets</t>
  </si>
  <si>
    <t>Total Assets</t>
  </si>
  <si>
    <t>Total Current Liabilities</t>
  </si>
  <si>
    <t>Total Liabilities</t>
  </si>
  <si>
    <t>Total Liabilities and Equity</t>
  </si>
  <si>
    <t>check</t>
  </si>
  <si>
    <t>Depreciation</t>
  </si>
  <si>
    <t>Change in Working Capital</t>
  </si>
  <si>
    <t>Cash From Operating Activities</t>
  </si>
  <si>
    <t>Capital Expenditures</t>
  </si>
  <si>
    <t>Cash From Investing Activities</t>
  </si>
  <si>
    <t>Cash From Financing Activities</t>
  </si>
  <si>
    <t>Change in Cash</t>
  </si>
  <si>
    <t xml:space="preserve">Beginning Cash </t>
  </si>
  <si>
    <t>Ending Cash</t>
  </si>
  <si>
    <t>Plus: Capital Expenditures</t>
  </si>
  <si>
    <t>Less: Depreciation</t>
  </si>
  <si>
    <t>Revenue</t>
  </si>
  <si>
    <t>Non-Cash Current Assets</t>
  </si>
  <si>
    <t>Non-Debt Current Liabilities</t>
  </si>
  <si>
    <t>Working Capital</t>
  </si>
  <si>
    <t>Days Receivable</t>
  </si>
  <si>
    <t>Days</t>
  </si>
  <si>
    <t>Beginning Cash Balance</t>
  </si>
  <si>
    <t>Less: Minimum Cash Balance</t>
  </si>
  <si>
    <t>Total Cash Available (Required)</t>
  </si>
  <si>
    <t>Total Cash Available</t>
  </si>
  <si>
    <t>Total Debt Paydown</t>
  </si>
  <si>
    <t>Average Debt Balance</t>
  </si>
  <si>
    <t>Average Interest Rate</t>
  </si>
  <si>
    <t>Total Interest Expense</t>
  </si>
  <si>
    <t>Interest Expense</t>
  </si>
  <si>
    <t>Total Debt</t>
  </si>
  <si>
    <t>x Average Price Paid per Share</t>
  </si>
  <si>
    <t>Common Stock Schedule</t>
  </si>
  <si>
    <t>Basic Earnings per Share</t>
  </si>
  <si>
    <t>Dividend Yield</t>
  </si>
  <si>
    <t>Net Earnings</t>
  </si>
  <si>
    <t>Other Current Assets</t>
  </si>
  <si>
    <t>Other Long-Term Liabilities</t>
  </si>
  <si>
    <t>Product protected by copyright</t>
  </si>
  <si>
    <t>Accounts Receivable</t>
  </si>
  <si>
    <t>Other Long-Term Assets</t>
  </si>
  <si>
    <t>Other Current Liabilities</t>
  </si>
  <si>
    <t>Previous Year's Revenue x (1 + Growth Rate)</t>
  </si>
  <si>
    <t>Non-Cash Current Assets - Non-Debt Current Liabilities</t>
  </si>
  <si>
    <t>Total Interest Expense / Average Debt Balance</t>
  </si>
  <si>
    <t>Dividend per Share / Average Price Paid per Share</t>
  </si>
  <si>
    <t>Link into the Income Statement</t>
  </si>
  <si>
    <t>Link into the Cash Flow Statement</t>
  </si>
  <si>
    <t>Link into the Balance Sheet</t>
  </si>
  <si>
    <t>Instructions:</t>
  </si>
  <si>
    <t>Step 10: Link into the Interest Expense Schedule</t>
  </si>
  <si>
    <t>Step 6: Link into the Cash Flow Statement</t>
  </si>
  <si>
    <t>Step 9: Link into the Debt Schedule</t>
  </si>
  <si>
    <t>Cash Flow from Operating Activities - Capital Expenditures</t>
  </si>
  <si>
    <t>x Dividends per Share</t>
  </si>
  <si>
    <t>EBITDA</t>
  </si>
  <si>
    <t>Debt / EBITDA</t>
  </si>
  <si>
    <t>Cash Ratio</t>
  </si>
  <si>
    <t>Return on Equity</t>
  </si>
  <si>
    <t>Link to the Income Statement</t>
  </si>
  <si>
    <t>Link to the Cash Flow Statement</t>
  </si>
  <si>
    <t>Shareholders' Equity</t>
  </si>
  <si>
    <t>Link to the Balance Sheet</t>
  </si>
  <si>
    <t>Debt-to-Equity Ratio</t>
  </si>
  <si>
    <t>Net Debt</t>
  </si>
  <si>
    <t>Accounts Payable</t>
  </si>
  <si>
    <t>Total Other Expenses</t>
  </si>
  <si>
    <t>Earnings Before Taxes</t>
  </si>
  <si>
    <t>Earnings Before Taxes x Corporate Tax Rate</t>
  </si>
  <si>
    <t>Link into the Dividend Schedule</t>
  </si>
  <si>
    <t>Link to row 24</t>
  </si>
  <si>
    <t>Corporate Taxes</t>
  </si>
  <si>
    <t>Operating Income - Total Other Expenses</t>
  </si>
  <si>
    <t>Total Assets - Total Liabilities &amp; Equity</t>
  </si>
  <si>
    <t>Dividends</t>
  </si>
  <si>
    <t>Share Repurchases</t>
  </si>
  <si>
    <t>Share Repurchases Schedule</t>
  </si>
  <si>
    <t>Dividends Schedule</t>
  </si>
  <si>
    <t>Less: Dividends</t>
  </si>
  <si>
    <t>Less: Share Repurchases</t>
  </si>
  <si>
    <t>Terms of Use</t>
  </si>
  <si>
    <t>This document subject to the Terms of Use</t>
  </si>
  <si>
    <t>Pepsico Financial Model</t>
  </si>
  <si>
    <t>Revenue / Previous Year's Revenue - 1</t>
  </si>
  <si>
    <t>Net Earnings / Revenue</t>
  </si>
  <si>
    <t xml:space="preserve">Net Earnings </t>
  </si>
  <si>
    <t>Plus: Net Earnings</t>
  </si>
  <si>
    <t>Revenue x Capital Expenditures as a % Revenue</t>
  </si>
  <si>
    <t>Revenue x Depreciation as a % Revenue</t>
  </si>
  <si>
    <t>Capital Expenditures / Revenue</t>
  </si>
  <si>
    <t>Depreciation / Revenue</t>
  </si>
  <si>
    <t>Capital Expenditures as a % Revenue</t>
  </si>
  <si>
    <t>Depreciation as a % Revenue</t>
  </si>
  <si>
    <t>Other Current Assets as a % Revenue</t>
  </si>
  <si>
    <t>Accounts Payable as a % Revenue</t>
  </si>
  <si>
    <t>Other Current Liabilities as a % Revenue</t>
  </si>
  <si>
    <t>Days Receivable x Revenue / Days</t>
  </si>
  <si>
    <t>Other Current Assets / Revenue</t>
  </si>
  <si>
    <t>Accounts Payable / Revenue</t>
  </si>
  <si>
    <t>Other Current Liabilities / Revenue</t>
  </si>
  <si>
    <t>Revenue x Other Current Assets as a % of Revenue</t>
  </si>
  <si>
    <t>Revenue x Accounts Payable as a % of Revenue</t>
  </si>
  <si>
    <t>Net Earnings / Average Common Shares Outstanding</t>
  </si>
  <si>
    <t>2019E</t>
  </si>
  <si>
    <t>Current Year's Working Capital - Last Year's Working Capital</t>
  </si>
  <si>
    <t>Step 7: Link into the Working Capital Schedule</t>
  </si>
  <si>
    <t>Step 8: Link into the Equity Schedule</t>
  </si>
  <si>
    <t>Step 8: Link into the Income Statement</t>
  </si>
  <si>
    <t>2020E</t>
  </si>
  <si>
    <t>Revenue x Other Current Liabilities as a % of Revenue</t>
  </si>
  <si>
    <t>No. of Shares Repurchased</t>
  </si>
  <si>
    <t>© 2013 Adventis CG Training LLC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</si>
  <si>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</si>
  <si>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Beginning Debt</t>
  </si>
  <si>
    <t>Debt Pay Down and Issuance</t>
  </si>
  <si>
    <t>Ending Debt</t>
  </si>
  <si>
    <t>P/E Multiple</t>
  </si>
  <si>
    <t>Revolver Issued</t>
  </si>
  <si>
    <t>Change in Revolver</t>
  </si>
  <si>
    <t>Average Price Paid per Share / Basic Earnings per Share</t>
  </si>
  <si>
    <t>Share Repurchases ($)</t>
  </si>
  <si>
    <t>Link to the Ending Balance of the previous year</t>
  </si>
  <si>
    <t>Link to the ending balance of the previous year</t>
  </si>
  <si>
    <t>Dividends ($)</t>
  </si>
  <si>
    <t>Beginning Balance of Equity</t>
  </si>
  <si>
    <t>Ending Balance of Equity</t>
  </si>
  <si>
    <t>Beginning Balance of Shares Outstanding</t>
  </si>
  <si>
    <t>Ending Balance of Shares Outstanding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</si>
  <si>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</si>
  <si>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</si>
  <si>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</si>
  <si>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</si>
  <si>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</si>
  <si>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</si>
  <si>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=IF(H23&lt;0,-H23,0)</t>
  </si>
  <si>
    <t>Earnings Before Taxes - Corporate Taxes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</si>
  <si>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</si>
  <si>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</si>
  <si>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</si>
  <si>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</si>
  <si>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</si>
  <si>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</si>
  <si>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Link into row 21</t>
  </si>
  <si>
    <t>% Operating Margin</t>
  </si>
  <si>
    <t>% Net Margin</t>
  </si>
  <si>
    <t>Other Expense (Income)</t>
  </si>
  <si>
    <t>2016A</t>
  </si>
  <si>
    <t>2021E</t>
  </si>
  <si>
    <t>Revolver Average Balance x Revolver Interest Rate</t>
  </si>
  <si>
    <t>Long-Term Debt Average Balance x Long-Term Debt Interest Rate</t>
  </si>
  <si>
    <t>=Average(Long-Term Debt Beginning Balance,Long-Term Debt Ending Balance)</t>
  </si>
  <si>
    <t>=Average(Revolver Beginning Balance,Revolver Ending Balance)</t>
  </si>
  <si>
    <t>Link into the Debt Schedule</t>
  </si>
  <si>
    <t>Revolver Issued + Revolver Paydown</t>
  </si>
  <si>
    <t>Long-Term Debt Paydown (Scheduled)</t>
  </si>
  <si>
    <t>Change in Long-Term Debt</t>
  </si>
  <si>
    <t>Long-Term Debt Issued + Long-Term Debt Paydown</t>
  </si>
  <si>
    <t>Beginning Revolver Balance + Revolver Issued + Revolver Paydown</t>
  </si>
  <si>
    <t>Beginning Long-Term Debt Balance + Long-Term Debt Issued + Long-Term Debt Paydown</t>
  </si>
  <si>
    <t>Long-Term Debt Issued</t>
  </si>
  <si>
    <t>=-IF(H27&gt;0,MIN(H10,H27),0)</t>
  </si>
  <si>
    <t>2017A</t>
  </si>
  <si>
    <t>2022E</t>
  </si>
  <si>
    <t>% Operating Margin x Revenue</t>
  </si>
  <si>
    <t>Cash and Cash Equivalents / Total Current Liabilities</t>
  </si>
  <si>
    <t>Net Earnings / Shareholders' Equity</t>
  </si>
  <si>
    <t>Total Debt - Cash and Cash Equivalents</t>
  </si>
  <si>
    <t>Accounts Receivable / Revenue x Days</t>
  </si>
  <si>
    <t>Link to row 30</t>
  </si>
  <si>
    <t>Total Beginning Debt Balance</t>
  </si>
  <si>
    <t>Total Ending Debt Balance</t>
  </si>
  <si>
    <t>Total Ending Debt Balance / EBITDA</t>
  </si>
  <si>
    <t>Total Ending Debt Balance / Shareholders' Equity</t>
  </si>
  <si>
    <t>=Average (Beginning Balance of Shares Outstanding, Ending Balance of Shares Outstanding)</t>
  </si>
  <si>
    <t>Interest Income</t>
  </si>
  <si>
    <t>2018A</t>
  </si>
  <si>
    <t>2023E</t>
  </si>
  <si>
    <t>Interest Income Schedule</t>
  </si>
  <si>
    <t xml:space="preserve">Average Cash Balance </t>
  </si>
  <si>
    <t>=Average(Cash Beginning Balance,Cash Ending Balance)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</si>
  <si>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</si>
  <si>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</si>
  <si>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</si>
  <si>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</si>
  <si>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</si>
  <si>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Operating Expenses</t>
  </si>
  <si>
    <t>Net Property, Plant &amp; Equipment</t>
  </si>
  <si>
    <t>Free Cash Flow (Levered)</t>
  </si>
  <si>
    <t>Fiscal Year Ended December 31,</t>
  </si>
  <si>
    <t>PP&amp;E Schedule</t>
  </si>
  <si>
    <t>PP&amp;E Schedule ($ in Millions)</t>
  </si>
  <si>
    <t>Ending Balance of PP&amp;E</t>
  </si>
  <si>
    <t>Link 2018A into the Balance Sheet</t>
  </si>
  <si>
    <t>Beginning Balance of PP&amp;E</t>
  </si>
  <si>
    <t>Dividends ($) / Average Common Shares Outstanding</t>
  </si>
  <si>
    <t>Average Common Shares Outstanding</t>
  </si>
  <si>
    <t>Share Repurchases ($) / No. of Shares Repurchased; P/E Multiple * Basic Earnings per Share</t>
  </si>
  <si>
    <t>Link to row 19; Share Repurchases ($) / Average Price Paid per Share</t>
  </si>
  <si>
    <t>Average Common Shares Outstanding x Dividends per Share</t>
  </si>
  <si>
    <t>No. of Shares Issued</t>
  </si>
  <si>
    <t>$1,000 in all years.</t>
  </si>
  <si>
    <t>Operating Income</t>
  </si>
  <si>
    <t>Revenue - Operating Income</t>
  </si>
  <si>
    <t>Corporate Taxes / Earnings before Taxes</t>
  </si>
  <si>
    <t>Note: Short-Term Obligations and Long-Term Obligations were combined into Total Debt for training purposes. Other Liabilities were assumed to be</t>
  </si>
  <si>
    <t>Operating Income + Depreciation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</si>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</sst>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7" formatCode="&quot;$&quot;#,##0.00_);\(&quot;$&quot;#,##0.00\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0.0%_);\(0.0%\);\ \-\ \-\ "/>
    <numFmt numFmtId="170" formatCode="&quot;$&quot;#,##0.00_);\(&quot;$&quot;#,##0.00\);\ \-\ \-\ "/>
    <numFmt numFmtId="171" formatCode="#,##0.0\x_);\(#,##0.0\x\);\ \-\ \-\ "/>
    <numFmt numFmtId="172" formatCode="#,##0.00_);\(#,##0.00\);\ \-\ \-\ "/>
    <numFmt numFmtId="173" formatCode="&quot;$&quot;#,##0.0_);\(&quot;$&quot;#,##0.0\);\ \-\ \-\ "/>
    <numFmt numFmtId="174" formatCode="#,##0%_);\(#,##0%\);\ \-\ \-\ "/>
  </numFmts>
  <fonts count="3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Book Antiqua"/>
      <family val="1"/>
    </font>
    <font>
      <b/>
      <sz val="8"/>
      <color indexed="21"/>
      <name val="ZapfDingbats"/>
    </font>
    <font>
      <sz val="7"/>
      <name val="Book Antiqua"/>
      <family val="1"/>
    </font>
    <font>
      <b/>
      <i/>
      <sz val="8"/>
      <name val="Arial"/>
      <family val="2"/>
    </font>
    <font>
      <sz val="8"/>
      <name val="Arial"/>
      <family val="2"/>
    </font>
    <font>
      <b/>
      <sz val="16"/>
      <color indexed="16"/>
      <name val="Helv"/>
    </font>
    <font>
      <b/>
      <sz val="10"/>
      <name val="Palatino"/>
      <family val="1"/>
    </font>
    <font>
      <b/>
      <sz val="10"/>
      <name val="Book Antiqua"/>
      <family val="1"/>
    </font>
    <font>
      <sz val="7"/>
      <name val="Arial"/>
      <family val="2"/>
    </font>
    <font>
      <b/>
      <sz val="8"/>
      <name val="Palatino"/>
      <family val="1"/>
    </font>
    <font>
      <b/>
      <sz val="8"/>
      <name val="Arial"/>
      <family val="2"/>
    </font>
    <font>
      <sz val="8"/>
      <name val="Book Antiqua"/>
      <family val="1"/>
    </font>
    <font>
      <b/>
      <sz val="14"/>
      <name val="Palatino"/>
      <family val="1"/>
    </font>
    <font>
      <b/>
      <sz val="12"/>
      <name val="Book Antiqua"/>
      <family val="1"/>
    </font>
    <font>
      <b/>
      <sz val="12"/>
      <name val="Arial"/>
      <family val="2"/>
    </font>
    <font>
      <b/>
      <u/>
      <sz val="9"/>
      <name val="Arial"/>
      <family val="2"/>
    </font>
    <font>
      <b/>
      <sz val="14"/>
      <name val="Book Antiqua"/>
      <family val="1"/>
    </font>
    <font>
      <b/>
      <sz val="20"/>
      <name val="Palatino"/>
      <family val="1"/>
    </font>
    <font>
      <b/>
      <sz val="7"/>
      <name val="Arial"/>
      <family val="2"/>
    </font>
    <font>
      <b/>
      <sz val="9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5" fillId="0" borderId="0"/>
    <xf numFmtId="0" fontId="16" fillId="0" borderId="0" applyNumberFormat="0" applyFont="0" applyFill="0" applyBorder="0" applyProtection="0">
      <alignment horizontal="centerContinuous"/>
    </xf>
    <xf numFmtId="0" fontId="16" fillId="0" borderId="4" applyNumberFormat="0" applyFont="0" applyFill="0" applyAlignment="0" applyProtection="0"/>
    <xf numFmtId="0" fontId="17" fillId="0" borderId="0">
      <alignment horizontal="right"/>
    </xf>
    <xf numFmtId="0" fontId="16" fillId="0" borderId="0" applyNumberFormat="0" applyFont="0" applyFill="0" applyBorder="0" applyProtection="0">
      <alignment horizont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>
      <alignment horizontal="right"/>
    </xf>
    <xf numFmtId="0" fontId="16" fillId="0" borderId="6" applyNumberFormat="0" applyFont="0" applyFill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>
      <alignment horizontal="center"/>
    </xf>
    <xf numFmtId="0" fontId="15" fillId="0" borderId="0"/>
    <xf numFmtId="0" fontId="2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7" applyNumberFormat="0" applyFont="0" applyFill="0" applyAlignment="0" applyProtection="0"/>
    <xf numFmtId="0" fontId="28" fillId="0" borderId="0" applyAlignment="0"/>
    <xf numFmtId="0" fontId="29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>
      <alignment horizontal="center"/>
    </xf>
    <xf numFmtId="0" fontId="33" fillId="0" borderId="0">
      <alignment horizontal="center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3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horizontal="centerContinuous"/>
    </xf>
    <xf numFmtId="0" fontId="2" fillId="3" borderId="2" xfId="0" applyFont="1" applyFill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1" fillId="0" borderId="0" xfId="0" applyFont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3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167" fontId="1" fillId="0" borderId="3" xfId="0" applyNumberFormat="1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7" fontId="7" fillId="0" borderId="3" xfId="0" applyNumberFormat="1" applyFont="1" applyBorder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8" fontId="1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8" fillId="0" borderId="3" xfId="0" applyNumberFormat="1" applyFont="1" applyBorder="1" applyAlignment="1">
      <alignment vertical="center"/>
    </xf>
    <xf numFmtId="166" fontId="1" fillId="3" borderId="0" xfId="0" applyNumberFormat="1" applyFont="1" applyFill="1" applyBorder="1" applyAlignment="1">
      <alignment vertical="center"/>
    </xf>
    <xf numFmtId="169" fontId="1" fillId="3" borderId="0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vertical="center"/>
    </xf>
    <xf numFmtId="165" fontId="1" fillId="0" borderId="0" xfId="0" applyNumberFormat="1" applyFont="1" applyBorder="1" applyAlignment="1">
      <alignment vertical="center"/>
    </xf>
    <xf numFmtId="165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7" fontId="7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7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2" fillId="0" borderId="0" xfId="0" applyFont="1" applyAlignment="1"/>
    <xf numFmtId="0" fontId="11" fillId="0" borderId="0" xfId="0" applyFont="1"/>
    <xf numFmtId="0" fontId="11" fillId="0" borderId="0" xfId="0" applyFont="1" applyAlignment="1"/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165" fontId="7" fillId="0" borderId="0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73" fontId="1" fillId="0" borderId="0" xfId="0" applyNumberFormat="1" applyFont="1" applyAlignment="1">
      <alignment vertical="center"/>
    </xf>
    <xf numFmtId="169" fontId="7" fillId="3" borderId="0" xfId="0" applyNumberFormat="1" applyFont="1" applyFill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8" fillId="0" borderId="5" xfId="0" applyNumberFormat="1" applyFont="1" applyBorder="1" applyAlignment="1">
      <alignment vertical="center"/>
    </xf>
    <xf numFmtId="172" fontId="1" fillId="0" borderId="0" xfId="0" applyNumberFormat="1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170" fontId="7" fillId="3" borderId="0" xfId="0" applyNumberFormat="1" applyFont="1" applyFill="1" applyBorder="1" applyAlignment="1">
      <alignment vertical="center"/>
    </xf>
    <xf numFmtId="165" fontId="7" fillId="3" borderId="0" xfId="0" applyNumberFormat="1" applyFont="1" applyFill="1" applyAlignment="1">
      <alignment vertical="center"/>
    </xf>
    <xf numFmtId="165" fontId="1" fillId="0" borderId="5" xfId="0" applyNumberFormat="1" applyFont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165" fontId="7" fillId="3" borderId="0" xfId="0" applyNumberFormat="1" applyFont="1" applyFill="1" applyBorder="1" applyAlignment="1">
      <alignment vertical="center"/>
    </xf>
    <xf numFmtId="165" fontId="8" fillId="3" borderId="0" xfId="0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165" fontId="10" fillId="0" borderId="0" xfId="0" quotePrefix="1" applyNumberFormat="1" applyFont="1" applyAlignment="1">
      <alignment vertical="center"/>
    </xf>
    <xf numFmtId="164" fontId="7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167" fontId="7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164" fontId="10" fillId="3" borderId="0" xfId="0" applyNumberFormat="1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167" fontId="1" fillId="3" borderId="0" xfId="0" applyNumberFormat="1" applyFont="1" applyFill="1" applyAlignment="1">
      <alignment vertical="center"/>
    </xf>
    <xf numFmtId="165" fontId="1" fillId="3" borderId="3" xfId="0" applyNumberFormat="1" applyFont="1" applyFill="1" applyBorder="1" applyAlignment="1">
      <alignment vertical="center"/>
    </xf>
    <xf numFmtId="165" fontId="15" fillId="3" borderId="3" xfId="0" applyNumberFormat="1" applyFont="1" applyFill="1" applyBorder="1" applyAlignment="1">
      <alignment vertical="center"/>
    </xf>
    <xf numFmtId="164" fontId="8" fillId="3" borderId="0" xfId="0" applyNumberFormat="1" applyFont="1" applyFill="1" applyAlignment="1">
      <alignment vertical="center"/>
    </xf>
    <xf numFmtId="165" fontId="10" fillId="3" borderId="0" xfId="0" applyNumberFormat="1" applyFont="1" applyFill="1" applyAlignment="1">
      <alignment vertical="center"/>
    </xf>
    <xf numFmtId="168" fontId="9" fillId="3" borderId="0" xfId="0" applyNumberFormat="1" applyFont="1" applyFill="1" applyAlignment="1">
      <alignment vertical="center"/>
    </xf>
    <xf numFmtId="0" fontId="1" fillId="3" borderId="3" xfId="0" applyFont="1" applyFill="1" applyBorder="1" applyAlignment="1">
      <alignment vertical="center"/>
    </xf>
    <xf numFmtId="165" fontId="8" fillId="3" borderId="3" xfId="0" applyNumberFormat="1" applyFont="1" applyFill="1" applyBorder="1" applyAlignment="1">
      <alignment vertical="center"/>
    </xf>
    <xf numFmtId="167" fontId="7" fillId="3" borderId="0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3" xfId="0" applyFont="1" applyFill="1" applyBorder="1" applyAlignment="1">
      <alignment horizontal="left" vertical="center" indent="1"/>
    </xf>
    <xf numFmtId="164" fontId="1" fillId="3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170" fontId="1" fillId="3" borderId="0" xfId="0" applyNumberFormat="1" applyFont="1" applyFill="1" applyAlignment="1">
      <alignment vertical="center"/>
    </xf>
    <xf numFmtId="165" fontId="7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71" fontId="10" fillId="3" borderId="3" xfId="0" applyNumberFormat="1" applyFont="1" applyFill="1" applyBorder="1" applyAlignment="1">
      <alignment vertical="center"/>
    </xf>
    <xf numFmtId="171" fontId="7" fillId="3" borderId="3" xfId="0" applyNumberFormat="1" applyFont="1" applyFill="1" applyBorder="1" applyAlignment="1">
      <alignment vertical="center"/>
    </xf>
    <xf numFmtId="167" fontId="1" fillId="3" borderId="0" xfId="0" applyNumberFormat="1" applyFont="1" applyFill="1" applyBorder="1" applyAlignment="1">
      <alignment vertical="center"/>
    </xf>
    <xf numFmtId="5" fontId="10" fillId="3" borderId="5" xfId="0" applyNumberFormat="1" applyFont="1" applyFill="1" applyBorder="1" applyAlignment="1">
      <alignment vertical="center"/>
    </xf>
    <xf numFmtId="165" fontId="1" fillId="3" borderId="5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164" fontId="8" fillId="3" borderId="0" xfId="0" applyNumberFormat="1" applyFont="1" applyFill="1" applyBorder="1" applyAlignment="1">
      <alignment vertical="center"/>
    </xf>
    <xf numFmtId="171" fontId="1" fillId="3" borderId="0" xfId="0" applyNumberFormat="1" applyFont="1" applyFill="1" applyBorder="1" applyAlignment="1">
      <alignment vertical="center"/>
    </xf>
    <xf numFmtId="174" fontId="1" fillId="3" borderId="0" xfId="0" applyNumberFormat="1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67" fontId="7" fillId="0" borderId="4" xfId="0" applyNumberFormat="1" applyFont="1" applyBorder="1" applyAlignment="1">
      <alignment vertical="center"/>
    </xf>
    <xf numFmtId="5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4" fillId="0" borderId="0" xfId="0" applyFont="1" applyAlignment="1">
      <alignment horizontal="centerContinuous" vertical="center"/>
    </xf>
    <xf numFmtId="165" fontId="9" fillId="3" borderId="0" xfId="0" applyNumberFormat="1" applyFont="1" applyFill="1" applyAlignment="1">
      <alignment vertical="center"/>
    </xf>
    <xf numFmtId="165" fontId="9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7" fillId="0" borderId="0" xfId="0" applyNumberFormat="1" applyFont="1" applyBorder="1" applyAlignment="1">
      <alignment horizontal="right" vertical="center"/>
    </xf>
    <xf numFmtId="164" fontId="7" fillId="0" borderId="0" xfId="0" applyNumberFormat="1" applyFont="1" applyBorder="1" applyAlignment="1">
      <alignment vertical="center"/>
    </xf>
    <xf numFmtId="172" fontId="10" fillId="0" borderId="0" xfId="0" applyNumberFormat="1" applyFont="1" applyBorder="1" applyAlignment="1">
      <alignment vertical="center"/>
    </xf>
    <xf numFmtId="167" fontId="10" fillId="0" borderId="0" xfId="0" applyNumberFormat="1" applyFont="1" applyAlignment="1">
      <alignment vertical="center"/>
    </xf>
    <xf numFmtId="164" fontId="7" fillId="0" borderId="3" xfId="0" applyNumberFormat="1" applyFont="1" applyBorder="1" applyAlignment="1">
      <alignment vertical="center"/>
    </xf>
    <xf numFmtId="170" fontId="1" fillId="3" borderId="4" xfId="0" applyNumberFormat="1" applyFont="1" applyFill="1" applyBorder="1" applyAlignment="1">
      <alignment vertical="center"/>
    </xf>
  </cellXfs>
  <cellStyles count="29">
    <cellStyle name="=C:\WINNT35\SYSTEM32\COMMAND.COM" xfId="1" xr:uid="{00000000-0005-0000-0000-000000000000}"/>
    <cellStyle name="Across" xfId="2" xr:uid="{00000000-0005-0000-0000-000001000000}"/>
    <cellStyle name="Bottom" xfId="3" xr:uid="{00000000-0005-0000-0000-000002000000}"/>
    <cellStyle name="bullet" xfId="4" xr:uid="{00000000-0005-0000-0000-000003000000}"/>
    <cellStyle name="Center" xfId="5" xr:uid="{00000000-0005-0000-0000-000004000000}"/>
    <cellStyle name="Co. Names" xfId="6" xr:uid="{00000000-0005-0000-0000-000005000000}"/>
    <cellStyle name="Co. Names - Bold" xfId="7" xr:uid="{00000000-0005-0000-0000-000006000000}"/>
    <cellStyle name="Co. Names_Levered WACC" xfId="8" xr:uid="{00000000-0005-0000-0000-000007000000}"/>
    <cellStyle name="dash" xfId="9" xr:uid="{00000000-0005-0000-0000-000008000000}"/>
    <cellStyle name="Double" xfId="10" xr:uid="{00000000-0005-0000-0000-000009000000}"/>
    <cellStyle name="footnote" xfId="11" xr:uid="{00000000-0005-0000-0000-00000A000000}"/>
    <cellStyle name="footnote2" xfId="12" xr:uid="{00000000-0005-0000-0000-00000B000000}"/>
    <cellStyle name="Footnotes" xfId="13" xr:uid="{00000000-0005-0000-0000-00000C000000}"/>
    <cellStyle name="Header" xfId="14" xr:uid="{00000000-0005-0000-0000-00000D000000}"/>
    <cellStyle name="Normal" xfId="0" builtinId="0"/>
    <cellStyle name="Normal 2" xfId="15" xr:uid="{00000000-0005-0000-0000-00000F000000}"/>
    <cellStyle name="Numbers" xfId="16" xr:uid="{00000000-0005-0000-0000-000010000000}"/>
    <cellStyle name="Numbers - Bold" xfId="17" xr:uid="{00000000-0005-0000-0000-000011000000}"/>
    <cellStyle name="Numbers - Bold - Italic" xfId="18" xr:uid="{00000000-0005-0000-0000-000012000000}"/>
    <cellStyle name="Numbers - Large" xfId="19" xr:uid="{00000000-0005-0000-0000-000013000000}"/>
    <cellStyle name="Outline" xfId="20" xr:uid="{00000000-0005-0000-0000-000014000000}"/>
    <cellStyle name="text" xfId="21" xr:uid="{00000000-0005-0000-0000-000015000000}"/>
    <cellStyle name="text2" xfId="22" xr:uid="{00000000-0005-0000-0000-000016000000}"/>
    <cellStyle name="Title - PROJECT" xfId="23" xr:uid="{00000000-0005-0000-0000-000017000000}"/>
    <cellStyle name="Title - Underline" xfId="24" xr:uid="{00000000-0005-0000-0000-000018000000}"/>
    <cellStyle name="Title1" xfId="25" xr:uid="{00000000-0005-0000-0000-000019000000}"/>
    <cellStyle name="title2" xfId="26" xr:uid="{00000000-0005-0000-0000-00001A000000}"/>
    <cellStyle name="Titles - Col. Headings" xfId="27" xr:uid="{00000000-0005-0000-0000-00001B000000}"/>
    <cellStyle name="Titles - Other" xfId="2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showGridLines="0" tabSelected="1" zoomScale="85" zoomScaleNormal="85" workbookViewId="0"/>
  </sheetViews>
  <sheetFormatPr defaultColWidth="9.140625" defaultRowHeight="15.2" customHeight="1"/>
  <cols>
    <col min="1" max="1" width="130.7109375" style="43" customWidth="1"/>
    <col min="2" max="16384" width="9.140625" style="43"/>
  </cols>
  <sheetData>
    <row r="2" spans="1:1" ht="15.2" customHeight="1">
      <c r="A2" s="42" t="s">
        <v>98</v>
      </c>
    </row>
    <row r="3" spans="1:1" ht="5.0999999999999996" customHeight="1"/>
    <row r="4" spans="1:1" ht="30" customHeight="1">
      <c r="A4" s="45" t="s">
        <v>130</v>
      </c>
    </row>
    <row r="7" spans="1:1" ht="15.2" customHeight="1">
      <c r="A7" s="44" t="s">
        <v>56</v>
      </c>
    </row>
    <row r="8" spans="1:1" ht="15.2" customHeight="1">
      <c r="A8" s="44" t="s">
        <v>129</v>
      </c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showGridLines="0" zoomScale="85" zoomScaleNormal="85" workbookViewId="0"/>
  </sheetViews>
  <sheetFormatPr defaultColWidth="10.7109375" defaultRowHeight="12.75" customHeight="1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6" spans="1:20" ht="12.75" customHeight="1">
      <c r="E6" s="2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1</v>
      </c>
      <c r="E8" s="7"/>
      <c r="F8" s="7"/>
      <c r="G8" s="7"/>
      <c r="M8" s="46"/>
      <c r="N8" s="46"/>
    </row>
    <row r="9" spans="1:20" ht="3" customHeight="1">
      <c r="E9" s="7"/>
      <c r="F9" s="7"/>
      <c r="G9" s="7"/>
    </row>
    <row r="10" spans="1:20" ht="12.75" customHeight="1">
      <c r="A10" s="1" t="s">
        <v>33</v>
      </c>
      <c r="E10" s="118">
        <v>62799</v>
      </c>
      <c r="F10" s="118">
        <v>63525</v>
      </c>
      <c r="G10" s="119">
        <v>64661</v>
      </c>
      <c r="H10" s="78">
        <f t="shared" ref="H10:L10" si="0">+G10*(1+H11)</f>
        <v>65307.61</v>
      </c>
      <c r="I10" s="78">
        <f t="shared" si="0"/>
        <v>66287.224149999995</v>
      </c>
      <c r="J10" s="78">
        <f t="shared" si="0"/>
        <v>67612.968632999997</v>
      </c>
      <c r="K10" s="78">
        <f t="shared" si="0"/>
        <v>68627.163162494995</v>
      </c>
      <c r="L10" s="78">
        <f t="shared" si="0"/>
        <v>69313.434794119952</v>
      </c>
      <c r="N10" s="1" t="s">
        <v>60</v>
      </c>
    </row>
    <row r="11" spans="1:20" ht="12.75" customHeight="1">
      <c r="A11" s="1" t="s">
        <v>12</v>
      </c>
      <c r="E11" s="14"/>
      <c r="F11" s="17">
        <f>+F10/E10-1</f>
        <v>1.1560693641618602E-2</v>
      </c>
      <c r="G11" s="17">
        <f t="shared" ref="G11" si="1">+G10/F10-1</f>
        <v>1.7882723337268702E-2</v>
      </c>
      <c r="H11" s="20">
        <v>0.01</v>
      </c>
      <c r="I11" s="20">
        <v>1.4999999999999999E-2</v>
      </c>
      <c r="J11" s="36">
        <v>0.02</v>
      </c>
      <c r="K11" s="36">
        <v>1.4999999999999999E-2</v>
      </c>
      <c r="L11" s="36">
        <v>0.01</v>
      </c>
      <c r="N11" s="1" t="s">
        <v>101</v>
      </c>
      <c r="T11" s="14"/>
    </row>
    <row r="12" spans="1:20" ht="12.75" customHeight="1">
      <c r="E12" s="14"/>
      <c r="F12" s="14"/>
      <c r="G12" s="14"/>
      <c r="H12" s="14"/>
      <c r="I12" s="14"/>
      <c r="J12" s="14"/>
      <c r="K12" s="14"/>
      <c r="L12" s="14"/>
    </row>
    <row r="13" spans="1:20" ht="12.75" customHeight="1">
      <c r="A13" s="37" t="s">
        <v>203</v>
      </c>
      <c r="B13" s="32"/>
      <c r="C13" s="32"/>
      <c r="D13" s="32"/>
      <c r="E13" s="30">
        <v>52995</v>
      </c>
      <c r="F13" s="30">
        <v>53249</v>
      </c>
      <c r="G13" s="30">
        <v>54551</v>
      </c>
      <c r="H13" s="79">
        <f>+H10-H14</f>
        <v>54858.392399999997</v>
      </c>
      <c r="I13" s="79">
        <f>+I10-I14</f>
        <v>55681.268285999991</v>
      </c>
      <c r="J13" s="79">
        <f>+J10-J14</f>
        <v>56794.893651719998</v>
      </c>
      <c r="K13" s="79">
        <f>+K10-K14</f>
        <v>57646.817056495798</v>
      </c>
      <c r="L13" s="79">
        <f>+L10-L14</f>
        <v>58223.285227060762</v>
      </c>
      <c r="N13" s="1" t="s">
        <v>220</v>
      </c>
    </row>
    <row r="14" spans="1:20" ht="12.75" customHeight="1">
      <c r="A14" s="18" t="s">
        <v>219</v>
      </c>
      <c r="B14" s="13"/>
      <c r="C14" s="13"/>
      <c r="D14" s="13"/>
      <c r="E14" s="80">
        <f>+E10-E13</f>
        <v>9804</v>
      </c>
      <c r="F14" s="80">
        <f>+F10-F13</f>
        <v>10276</v>
      </c>
      <c r="G14" s="80">
        <f>+G10-G13</f>
        <v>10110</v>
      </c>
      <c r="H14" s="80">
        <f>+H15*H10</f>
        <v>10449.2176</v>
      </c>
      <c r="I14" s="80">
        <f>+I15*I10</f>
        <v>10605.955864</v>
      </c>
      <c r="J14" s="80">
        <f>+J15*J10</f>
        <v>10818.07498128</v>
      </c>
      <c r="K14" s="80">
        <f>+K15*K10</f>
        <v>10980.346105999199</v>
      </c>
      <c r="L14" s="80">
        <f>+L15*L10</f>
        <v>11090.149567059192</v>
      </c>
      <c r="N14" s="1" t="s">
        <v>181</v>
      </c>
    </row>
    <row r="15" spans="1:20" ht="12.75" customHeight="1">
      <c r="A15" s="12" t="s">
        <v>161</v>
      </c>
      <c r="E15" s="81">
        <f>+E14/E$10</f>
        <v>0.15611713562317872</v>
      </c>
      <c r="F15" s="81">
        <f>+F14/F$10</f>
        <v>0.16176308539944903</v>
      </c>
      <c r="G15" s="81">
        <f>+G14/G$10</f>
        <v>0.15635390730115525</v>
      </c>
      <c r="H15" s="77">
        <v>0.16</v>
      </c>
      <c r="I15" s="77">
        <v>0.16</v>
      </c>
      <c r="J15" s="77">
        <v>0.16</v>
      </c>
      <c r="K15" s="77">
        <v>0.16</v>
      </c>
      <c r="L15" s="77">
        <v>0.16</v>
      </c>
      <c r="P15" s="17"/>
    </row>
    <row r="16" spans="1:20" ht="12.75" customHeight="1">
      <c r="E16" s="14"/>
      <c r="F16" s="14"/>
      <c r="G16" s="14"/>
      <c r="H16" s="14"/>
      <c r="I16" s="14"/>
      <c r="J16" s="14"/>
      <c r="K16" s="14"/>
      <c r="L16" s="14"/>
    </row>
    <row r="17" spans="1:16" s="32" customFormat="1" ht="12.75" customHeight="1">
      <c r="A17" s="1" t="s">
        <v>47</v>
      </c>
      <c r="B17" s="1"/>
      <c r="C17" s="1"/>
      <c r="D17" s="1"/>
      <c r="E17" s="69">
        <v>1342</v>
      </c>
      <c r="F17" s="69">
        <v>1151</v>
      </c>
      <c r="G17" s="69">
        <v>1525</v>
      </c>
      <c r="H17" s="70">
        <f ca="1">Interest!H20</f>
        <v>1113.7350000000001</v>
      </c>
      <c r="I17" s="70">
        <f ca="1">Interest!I20</f>
        <v>1078.7350000000001</v>
      </c>
      <c r="J17" s="70">
        <f ca="1">Interest!J20</f>
        <v>933.35873719250003</v>
      </c>
      <c r="K17" s="70">
        <f ca="1">Interest!K20</f>
        <v>784.68816664974554</v>
      </c>
      <c r="L17" s="70">
        <f ca="1">Interest!L20</f>
        <v>741.21149531112712</v>
      </c>
      <c r="M17" s="1"/>
      <c r="N17" s="1" t="s">
        <v>68</v>
      </c>
    </row>
    <row r="18" spans="1:16" s="32" customFormat="1" ht="12.75" customHeight="1">
      <c r="A18" s="1" t="s">
        <v>192</v>
      </c>
      <c r="B18" s="1"/>
      <c r="C18" s="1"/>
      <c r="D18" s="1"/>
      <c r="E18" s="30">
        <v>-110</v>
      </c>
      <c r="F18" s="30">
        <v>-244</v>
      </c>
      <c r="G18" s="30">
        <v>-306</v>
      </c>
      <c r="H18" s="108">
        <f ca="1">-Interest!H32</f>
        <v>-296.50443716653177</v>
      </c>
      <c r="I18" s="108">
        <f ca="1">-Interest!I32</f>
        <v>-254.13611118603322</v>
      </c>
      <c r="J18" s="108">
        <f ca="1">-Interest!J32</f>
        <v>-144.98167401950141</v>
      </c>
      <c r="K18" s="108">
        <f ca="1">-Interest!K32</f>
        <v>-45</v>
      </c>
      <c r="L18" s="108">
        <f ca="1">-Interest!L32</f>
        <v>-45</v>
      </c>
      <c r="M18" s="1"/>
      <c r="N18" s="1" t="s">
        <v>225</v>
      </c>
    </row>
    <row r="19" spans="1:16" ht="12.75" customHeight="1">
      <c r="A19" s="1" t="s">
        <v>163</v>
      </c>
      <c r="E19" s="30">
        <v>19</v>
      </c>
      <c r="F19" s="30">
        <v>-233</v>
      </c>
      <c r="G19" s="30">
        <v>-298</v>
      </c>
      <c r="H19" s="30">
        <v>-200</v>
      </c>
      <c r="I19" s="30">
        <v>-225</v>
      </c>
      <c r="J19" s="30">
        <v>-250</v>
      </c>
      <c r="K19" s="30">
        <v>-300</v>
      </c>
      <c r="L19" s="30">
        <v>-350</v>
      </c>
    </row>
    <row r="20" spans="1:16" ht="12.75" customHeight="1">
      <c r="A20" s="18" t="s">
        <v>84</v>
      </c>
      <c r="B20" s="13"/>
      <c r="C20" s="13"/>
      <c r="D20" s="13"/>
      <c r="E20" s="82">
        <f t="shared" ref="E20:G20" si="2">SUM(E17:E19)</f>
        <v>1251</v>
      </c>
      <c r="F20" s="82">
        <f t="shared" si="2"/>
        <v>674</v>
      </c>
      <c r="G20" s="82">
        <f t="shared" si="2"/>
        <v>921</v>
      </c>
      <c r="H20" s="83">
        <f ca="1">SUM(H17:H19)</f>
        <v>617.23056283346841</v>
      </c>
      <c r="I20" s="83">
        <f t="shared" ref="I20:L20" ca="1" si="3">SUM(I17:I19)</f>
        <v>599.59888881396694</v>
      </c>
      <c r="J20" s="83">
        <f t="shared" ca="1" si="3"/>
        <v>538.37706317299865</v>
      </c>
      <c r="K20" s="83">
        <f t="shared" ca="1" si="3"/>
        <v>439.68816664974554</v>
      </c>
      <c r="L20" s="83">
        <f t="shared" ca="1" si="3"/>
        <v>346.21149531112712</v>
      </c>
    </row>
    <row r="21" spans="1:16" ht="12.75" customHeight="1">
      <c r="E21" s="16"/>
      <c r="F21" s="16"/>
      <c r="G21" s="16"/>
      <c r="H21" s="26"/>
      <c r="I21" s="26"/>
      <c r="J21" s="26"/>
      <c r="K21" s="26"/>
      <c r="L21" s="26"/>
      <c r="O21" s="39"/>
      <c r="P21" s="39"/>
    </row>
    <row r="22" spans="1:16" ht="12.75" customHeight="1">
      <c r="A22" s="12" t="s">
        <v>85</v>
      </c>
      <c r="B22" s="32"/>
      <c r="C22" s="32"/>
      <c r="D22" s="32"/>
      <c r="E22" s="33">
        <f t="shared" ref="E22:L22" si="4">+E14-E20</f>
        <v>8553</v>
      </c>
      <c r="F22" s="33">
        <f t="shared" si="4"/>
        <v>9602</v>
      </c>
      <c r="G22" s="33">
        <f t="shared" si="4"/>
        <v>9189</v>
      </c>
      <c r="H22" s="33">
        <f t="shared" ca="1" si="4"/>
        <v>9831.9870371665311</v>
      </c>
      <c r="I22" s="33">
        <f t="shared" ca="1" si="4"/>
        <v>10006.356975186032</v>
      </c>
      <c r="J22" s="33">
        <f t="shared" ca="1" si="4"/>
        <v>10279.697918107002</v>
      </c>
      <c r="K22" s="33">
        <f t="shared" ca="1" si="4"/>
        <v>10540.657939349454</v>
      </c>
      <c r="L22" s="33">
        <f t="shared" ca="1" si="4"/>
        <v>10743.938071748065</v>
      </c>
      <c r="M22" s="32"/>
      <c r="N22" s="32" t="s">
        <v>90</v>
      </c>
    </row>
    <row r="23" spans="1:16" ht="12.75" customHeight="1">
      <c r="E23" s="14"/>
      <c r="F23" s="14"/>
      <c r="G23" s="14"/>
      <c r="H23" s="14"/>
      <c r="I23" s="14"/>
      <c r="J23" s="14"/>
      <c r="K23" s="14"/>
      <c r="L23" s="14"/>
    </row>
    <row r="24" spans="1:16" ht="12.75" customHeight="1">
      <c r="A24" s="58" t="s">
        <v>89</v>
      </c>
      <c r="E24" s="30">
        <v>2174</v>
      </c>
      <c r="F24" s="30">
        <v>4694</v>
      </c>
      <c r="G24" s="30">
        <v>-3370</v>
      </c>
      <c r="H24" s="74">
        <f ca="1">+H22*H29</f>
        <v>2556.316629663298</v>
      </c>
      <c r="I24" s="74">
        <f ca="1">+I22*I29</f>
        <v>2601.6528135483686</v>
      </c>
      <c r="J24" s="74">
        <f ca="1">+J22*J29</f>
        <v>2672.7214587078206</v>
      </c>
      <c r="K24" s="74">
        <f ca="1">+K22*K29</f>
        <v>2740.5710642308582</v>
      </c>
      <c r="L24" s="74">
        <f ca="1">+L22*L29</f>
        <v>2793.423898654497</v>
      </c>
      <c r="N24" s="1" t="s">
        <v>86</v>
      </c>
    </row>
    <row r="25" spans="1:16" ht="12.75" customHeight="1">
      <c r="A25" s="18" t="s">
        <v>103</v>
      </c>
      <c r="B25" s="13"/>
      <c r="C25" s="13"/>
      <c r="D25" s="13"/>
      <c r="E25" s="82">
        <f>+E22-E24</f>
        <v>6379</v>
      </c>
      <c r="F25" s="82">
        <f t="shared" ref="F25:L25" si="5">+F22-F24</f>
        <v>4908</v>
      </c>
      <c r="G25" s="82">
        <f t="shared" si="5"/>
        <v>12559</v>
      </c>
      <c r="H25" s="82">
        <f t="shared" ca="1" si="5"/>
        <v>7275.670407503233</v>
      </c>
      <c r="I25" s="82">
        <f t="shared" ca="1" si="5"/>
        <v>7404.7041616376637</v>
      </c>
      <c r="J25" s="82">
        <f t="shared" ca="1" si="5"/>
        <v>7606.9764593991813</v>
      </c>
      <c r="K25" s="82">
        <f t="shared" ca="1" si="5"/>
        <v>7800.0868751185953</v>
      </c>
      <c r="L25" s="82">
        <f t="shared" ca="1" si="5"/>
        <v>7950.5141730935684</v>
      </c>
      <c r="N25" s="1" t="s">
        <v>153</v>
      </c>
    </row>
    <row r="26" spans="1:16" s="32" customFormat="1" ht="12.75" customHeight="1">
      <c r="A26" s="12" t="s">
        <v>162</v>
      </c>
      <c r="B26" s="1"/>
      <c r="C26" s="1"/>
      <c r="D26" s="1"/>
      <c r="E26" s="81">
        <f>+E25/E10</f>
        <v>0.10157805060590137</v>
      </c>
      <c r="F26" s="81">
        <f t="shared" ref="F26:L26" si="6">+F25/F10</f>
        <v>7.7260920897284535E-2</v>
      </c>
      <c r="G26" s="81">
        <f t="shared" si="6"/>
        <v>0.19422836021713244</v>
      </c>
      <c r="H26" s="81">
        <f t="shared" ca="1" si="6"/>
        <v>0.11140616549132992</v>
      </c>
      <c r="I26" s="81">
        <f t="shared" ca="1" si="6"/>
        <v>0.11170635452891663</v>
      </c>
      <c r="J26" s="81">
        <f t="shared" ca="1" si="6"/>
        <v>0.11250765368237994</v>
      </c>
      <c r="K26" s="81">
        <f t="shared" ca="1" si="6"/>
        <v>0.11365888542776562</v>
      </c>
      <c r="L26" s="81">
        <f t="shared" ca="1" si="6"/>
        <v>0.11470379727550353</v>
      </c>
      <c r="M26" s="1"/>
      <c r="N26" s="1" t="s">
        <v>102</v>
      </c>
    </row>
    <row r="27" spans="1:16" ht="12.75" customHeight="1">
      <c r="E27" s="14"/>
      <c r="F27" s="14"/>
      <c r="G27" s="14"/>
      <c r="H27" s="14"/>
      <c r="I27" s="14"/>
      <c r="J27" s="14"/>
      <c r="K27" s="14"/>
      <c r="L27" s="14"/>
    </row>
    <row r="28" spans="1:16" ht="12.75" customHeight="1">
      <c r="A28" s="1" t="s">
        <v>13</v>
      </c>
      <c r="E28" s="14"/>
      <c r="F28" s="14"/>
      <c r="G28" s="14"/>
      <c r="H28" s="14"/>
      <c r="I28" s="14"/>
      <c r="J28" s="14"/>
      <c r="K28" s="14"/>
      <c r="L28" s="14"/>
    </row>
    <row r="29" spans="1:16" ht="12.75" customHeight="1">
      <c r="A29" s="13" t="s">
        <v>14</v>
      </c>
      <c r="B29" s="13"/>
      <c r="C29" s="13"/>
      <c r="D29" s="13"/>
      <c r="E29" s="19">
        <f>+E24/E22</f>
        <v>0.25417981994621769</v>
      </c>
      <c r="F29" s="19">
        <f>+F24/F22</f>
        <v>0.48885648823161842</v>
      </c>
      <c r="G29" s="19">
        <f>+G24/G22</f>
        <v>-0.36674284470562629</v>
      </c>
      <c r="H29" s="22">
        <v>0.26</v>
      </c>
      <c r="I29" s="22">
        <v>0.26</v>
      </c>
      <c r="J29" s="22">
        <v>0.26</v>
      </c>
      <c r="K29" s="22">
        <v>0.26</v>
      </c>
      <c r="L29" s="22">
        <v>0.26</v>
      </c>
      <c r="N29" s="1" t="s">
        <v>221</v>
      </c>
    </row>
    <row r="34" spans="1:11" ht="12.75" customHeight="1">
      <c r="A34" s="49"/>
    </row>
    <row r="35" spans="1:11" ht="12.75" customHeight="1">
      <c r="A35" s="49"/>
    </row>
    <row r="36" spans="1:11" ht="12.75" customHeight="1">
      <c r="A36" s="49"/>
    </row>
    <row r="44" spans="1:11" ht="12.75" customHeight="1">
      <c r="A44" s="71"/>
    </row>
    <row r="46" spans="1:11" ht="12.75" customHeight="1">
      <c r="H46" s="38"/>
      <c r="I46" s="38"/>
      <c r="J46" s="38"/>
      <c r="K46" s="38"/>
    </row>
    <row r="47" spans="1:11" ht="12.75" customHeight="1">
      <c r="H47" s="38"/>
      <c r="I47" s="38"/>
      <c r="J47" s="38"/>
      <c r="K47" s="38"/>
    </row>
    <row r="48" spans="1:11" ht="12.75" customHeight="1">
      <c r="A48" s="37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3" spans="1:20" ht="12.75" customHeight="1"/>
    <row r="4" spans="1:20" ht="12.75" customHeight="1"/>
    <row r="5" spans="1:20" ht="12.75" customHeight="1"/>
    <row r="6" spans="1:20" ht="12.75" customHeight="1">
      <c r="E6" s="2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3</v>
      </c>
      <c r="E8" s="7"/>
      <c r="F8" s="7"/>
      <c r="G8" s="7"/>
      <c r="M8" s="46"/>
      <c r="N8" s="46"/>
    </row>
    <row r="9" spans="1:20" ht="3" customHeight="1">
      <c r="E9" s="23"/>
      <c r="F9" s="23"/>
      <c r="G9" s="23"/>
      <c r="H9" s="14"/>
      <c r="I9" s="14"/>
      <c r="J9" s="14"/>
      <c r="K9" s="14"/>
      <c r="L9" s="14"/>
    </row>
    <row r="10" spans="1:20" ht="12.75" customHeight="1">
      <c r="A10" s="1" t="s">
        <v>15</v>
      </c>
      <c r="E10" s="118">
        <v>16125</v>
      </c>
      <c r="F10" s="118">
        <f>10610+8900</f>
        <v>19510</v>
      </c>
      <c r="G10" s="118">
        <f>8721+272+1997</f>
        <v>10990</v>
      </c>
      <c r="H10" s="68">
        <f ca="1">'Cash Flow Statement'!H27</f>
        <v>8776.9624777687859</v>
      </c>
      <c r="I10" s="68">
        <f ca="1">'Cash Flow Statement'!I27</f>
        <v>8165.4449346334277</v>
      </c>
      <c r="J10" s="68">
        <f ca="1">'Cash Flow Statement'!J27</f>
        <v>1500</v>
      </c>
      <c r="K10" s="68">
        <f ca="1">'Cash Flow Statement'!K27</f>
        <v>1500</v>
      </c>
      <c r="L10" s="68">
        <f ca="1">'Cash Flow Statement'!L27</f>
        <v>1500</v>
      </c>
      <c r="N10" s="1" t="s">
        <v>69</v>
      </c>
    </row>
    <row r="11" spans="1:20" ht="12.75" customHeight="1">
      <c r="A11" s="1" t="s">
        <v>57</v>
      </c>
      <c r="E11" s="16">
        <v>6694</v>
      </c>
      <c r="F11" s="16">
        <f>7024</f>
        <v>7024</v>
      </c>
      <c r="G11" s="16">
        <v>7142</v>
      </c>
      <c r="H11" s="84">
        <f>+'Working Capital'!H10</f>
        <v>7156.998356164383</v>
      </c>
      <c r="I11" s="84">
        <f>+'Working Capital'!I10</f>
        <v>7244.5053715846989</v>
      </c>
      <c r="J11" s="84">
        <f>+'Working Capital'!J10</f>
        <v>7409.6403981369858</v>
      </c>
      <c r="K11" s="84">
        <f>+'Working Capital'!K10</f>
        <v>7520.7850041090405</v>
      </c>
      <c r="L11" s="84">
        <f>+'Working Capital'!L10</f>
        <v>7595.9928541501313</v>
      </c>
      <c r="N11" s="1" t="s">
        <v>123</v>
      </c>
      <c r="T11" s="14"/>
    </row>
    <row r="12" spans="1:20" ht="12.75" customHeight="1">
      <c r="A12" s="1" t="s">
        <v>54</v>
      </c>
      <c r="E12" s="16">
        <v>3631</v>
      </c>
      <c r="F12" s="16">
        <f>13393-8900</f>
        <v>4493</v>
      </c>
      <c r="G12" s="16">
        <f>6030-1997-272</f>
        <v>3761</v>
      </c>
      <c r="H12" s="84">
        <f>+'Working Capital'!H11</f>
        <v>3918.4566</v>
      </c>
      <c r="I12" s="84">
        <f>+'Working Capital'!I11</f>
        <v>3977.2334489999994</v>
      </c>
      <c r="J12" s="84">
        <f>+'Working Capital'!J11</f>
        <v>4056.7781179799995</v>
      </c>
      <c r="K12" s="84">
        <f>+'Working Capital'!K11</f>
        <v>4117.6297897496997</v>
      </c>
      <c r="L12" s="84">
        <f>+'Working Capital'!L11</f>
        <v>4158.8060876471973</v>
      </c>
      <c r="N12" s="1" t="s">
        <v>123</v>
      </c>
    </row>
    <row r="13" spans="1:20" ht="12.75" customHeight="1">
      <c r="A13" s="18" t="s">
        <v>16</v>
      </c>
      <c r="B13" s="13"/>
      <c r="C13" s="13"/>
      <c r="D13" s="13"/>
      <c r="E13" s="80">
        <f t="shared" ref="E13" si="0">SUM(E10:E12)</f>
        <v>26450</v>
      </c>
      <c r="F13" s="82">
        <f t="shared" ref="F13:L13" si="1">SUM(F10:F12)</f>
        <v>31027</v>
      </c>
      <c r="G13" s="82">
        <f t="shared" si="1"/>
        <v>21893</v>
      </c>
      <c r="H13" s="82">
        <f t="shared" ca="1" si="1"/>
        <v>19852.417433933169</v>
      </c>
      <c r="I13" s="82">
        <f t="shared" ca="1" si="1"/>
        <v>19387.183755218124</v>
      </c>
      <c r="J13" s="82">
        <f t="shared" ca="1" si="1"/>
        <v>12966.418516116984</v>
      </c>
      <c r="K13" s="82">
        <f t="shared" ca="1" si="1"/>
        <v>13138.414793858741</v>
      </c>
      <c r="L13" s="82">
        <f t="shared" ca="1" si="1"/>
        <v>13254.798941797329</v>
      </c>
    </row>
    <row r="14" spans="1:20" ht="12.75" customHeight="1">
      <c r="E14" s="117"/>
      <c r="F14" s="14"/>
      <c r="G14" s="14"/>
      <c r="H14" s="34"/>
      <c r="I14" s="34"/>
      <c r="J14" s="34"/>
      <c r="K14" s="34"/>
      <c r="L14" s="34"/>
    </row>
    <row r="15" spans="1:20" ht="12.75" customHeight="1">
      <c r="A15" s="1" t="s">
        <v>204</v>
      </c>
      <c r="E15" s="118">
        <v>16591</v>
      </c>
      <c r="F15" s="118">
        <v>17240</v>
      </c>
      <c r="G15" s="118">
        <v>17589</v>
      </c>
      <c r="H15" s="68">
        <f>+'PP&amp;E'!H13</f>
        <v>18111.460879999999</v>
      </c>
      <c r="I15" s="68">
        <f>+'PP&amp;E'!I13</f>
        <v>18509.1842249</v>
      </c>
      <c r="J15" s="68">
        <f>+'PP&amp;E'!J13</f>
        <v>18779.636099431998</v>
      </c>
      <c r="K15" s="68">
        <f>+'PP&amp;E'!K13</f>
        <v>18916.890425756988</v>
      </c>
      <c r="L15" s="68">
        <f>+'PP&amp;E'!L13</f>
        <v>18916.890425756988</v>
      </c>
      <c r="N15" s="1" t="s">
        <v>224</v>
      </c>
    </row>
    <row r="16" spans="1:20" ht="12.75" customHeight="1">
      <c r="A16" s="1" t="s">
        <v>58</v>
      </c>
      <c r="E16" s="120">
        <v>30449</v>
      </c>
      <c r="F16" s="120">
        <v>31537</v>
      </c>
      <c r="G16" s="120">
        <v>38166</v>
      </c>
      <c r="H16" s="120">
        <v>38166</v>
      </c>
      <c r="I16" s="120">
        <v>38166</v>
      </c>
      <c r="J16" s="120">
        <v>38166</v>
      </c>
      <c r="K16" s="120">
        <v>38166</v>
      </c>
      <c r="L16" s="120">
        <v>38166</v>
      </c>
    </row>
    <row r="17" spans="1:14" ht="12.75" customHeight="1">
      <c r="A17" s="18" t="s">
        <v>17</v>
      </c>
      <c r="B17" s="13"/>
      <c r="C17" s="13"/>
      <c r="D17" s="13"/>
      <c r="E17" s="80">
        <f t="shared" ref="E17" si="2">SUM(E15:E16,E13)</f>
        <v>73490</v>
      </c>
      <c r="F17" s="82">
        <f t="shared" ref="F17:L17" si="3">SUM(F15:F16,F13)</f>
        <v>79804</v>
      </c>
      <c r="G17" s="82">
        <f t="shared" si="3"/>
        <v>77648</v>
      </c>
      <c r="H17" s="80">
        <f t="shared" ca="1" si="3"/>
        <v>76129.878313933164</v>
      </c>
      <c r="I17" s="80">
        <f t="shared" ca="1" si="3"/>
        <v>76062.367980118128</v>
      </c>
      <c r="J17" s="80">
        <f t="shared" ca="1" si="3"/>
        <v>69912.054615548986</v>
      </c>
      <c r="K17" s="80">
        <f t="shared" ca="1" si="3"/>
        <v>70221.305219615722</v>
      </c>
      <c r="L17" s="80">
        <f t="shared" ca="1" si="3"/>
        <v>70337.689367554325</v>
      </c>
    </row>
    <row r="18" spans="1:14" ht="12.75" customHeight="1">
      <c r="E18" s="117"/>
      <c r="F18" s="14"/>
      <c r="G18" s="14"/>
      <c r="H18" s="34"/>
      <c r="I18" s="34"/>
      <c r="J18" s="34"/>
      <c r="K18" s="34"/>
      <c r="L18" s="34"/>
    </row>
    <row r="19" spans="1:14" ht="12.75" customHeight="1">
      <c r="A19" s="51" t="s">
        <v>83</v>
      </c>
      <c r="E19" s="118">
        <v>13243</v>
      </c>
      <c r="F19" s="118">
        <v>14017</v>
      </c>
      <c r="G19" s="118">
        <v>17112</v>
      </c>
      <c r="H19" s="68">
        <f>+'Working Capital'!H14</f>
        <v>16326.9025</v>
      </c>
      <c r="I19" s="68">
        <f>+'Working Capital'!I14</f>
        <v>16571.806037499999</v>
      </c>
      <c r="J19" s="68">
        <f>+'Working Capital'!J14</f>
        <v>16903.242158249999</v>
      </c>
      <c r="K19" s="68">
        <f>+'Working Capital'!K14</f>
        <v>17156.790790623749</v>
      </c>
      <c r="L19" s="68">
        <f>+'Working Capital'!L14</f>
        <v>17328.358698529988</v>
      </c>
      <c r="N19" s="1" t="s">
        <v>123</v>
      </c>
    </row>
    <row r="20" spans="1:14" ht="12.75" customHeight="1">
      <c r="A20" s="1" t="s">
        <v>59</v>
      </c>
      <c r="E20" s="120">
        <v>1000</v>
      </c>
      <c r="F20" s="120">
        <v>1000</v>
      </c>
      <c r="G20" s="120">
        <v>1000</v>
      </c>
      <c r="H20" s="84">
        <f>+'Working Capital'!H15</f>
        <v>1044.9217599999999</v>
      </c>
      <c r="I20" s="84">
        <f>+'Working Capital'!I15</f>
        <v>1060.5955864</v>
      </c>
      <c r="J20" s="84">
        <f>+'Working Capital'!J15</f>
        <v>1081.8074981279999</v>
      </c>
      <c r="K20" s="84">
        <f>+'Working Capital'!K15</f>
        <v>1098.0346105999199</v>
      </c>
      <c r="L20" s="84">
        <f>+'Working Capital'!L15</f>
        <v>1109.0149567059193</v>
      </c>
      <c r="N20" s="1" t="s">
        <v>123</v>
      </c>
    </row>
    <row r="21" spans="1:14" ht="12.75" customHeight="1">
      <c r="A21" s="18" t="s">
        <v>18</v>
      </c>
      <c r="B21" s="13"/>
      <c r="C21" s="13"/>
      <c r="D21" s="13"/>
      <c r="E21" s="80">
        <f t="shared" ref="E21" si="4">SUM(E19:E20)</f>
        <v>14243</v>
      </c>
      <c r="F21" s="82">
        <f t="shared" ref="F21:L21" si="5">SUM(F19:F20)</f>
        <v>15017</v>
      </c>
      <c r="G21" s="82">
        <f t="shared" si="5"/>
        <v>18112</v>
      </c>
      <c r="H21" s="80">
        <f t="shared" si="5"/>
        <v>17371.824260000001</v>
      </c>
      <c r="I21" s="80">
        <f t="shared" si="5"/>
        <v>17632.401623899998</v>
      </c>
      <c r="J21" s="80">
        <f t="shared" si="5"/>
        <v>17985.049656378</v>
      </c>
      <c r="K21" s="80">
        <f t="shared" si="5"/>
        <v>18254.825401223668</v>
      </c>
      <c r="L21" s="80">
        <f t="shared" si="5"/>
        <v>18437.373655235908</v>
      </c>
    </row>
    <row r="22" spans="1:14" ht="12.75" customHeight="1">
      <c r="E22" s="117"/>
      <c r="F22" s="14"/>
      <c r="G22" s="14"/>
      <c r="H22" s="34"/>
      <c r="I22" s="34"/>
      <c r="J22" s="34"/>
      <c r="K22" s="34"/>
      <c r="L22" s="34"/>
    </row>
    <row r="23" spans="1:14" ht="12.75" customHeight="1">
      <c r="A23" s="1" t="s">
        <v>48</v>
      </c>
      <c r="D23" s="52"/>
      <c r="E23" s="118">
        <v>36945</v>
      </c>
      <c r="F23" s="118">
        <v>39281</v>
      </c>
      <c r="G23" s="118">
        <v>32321</v>
      </c>
      <c r="H23" s="68">
        <f ca="1">+Debt!H37</f>
        <v>31321</v>
      </c>
      <c r="I23" s="68">
        <f ca="1">+Debt!I37</f>
        <v>30321</v>
      </c>
      <c r="J23" s="68">
        <f ca="1">+Debt!J37</f>
        <v>23129.249146166661</v>
      </c>
      <c r="K23" s="68">
        <f ca="1">+Debt!K37</f>
        <v>21909.628630483036</v>
      </c>
      <c r="L23" s="68">
        <f ca="1">+Debt!L37</f>
        <v>20564.13772359211</v>
      </c>
      <c r="N23" s="1" t="s">
        <v>70</v>
      </c>
    </row>
    <row r="24" spans="1:14" ht="12.75" customHeight="1">
      <c r="A24" s="1" t="s">
        <v>55</v>
      </c>
      <c r="E24" s="120">
        <v>11103</v>
      </c>
      <c r="F24" s="120">
        <v>14525</v>
      </c>
      <c r="G24" s="120">
        <v>12613</v>
      </c>
      <c r="H24" s="120">
        <v>12613</v>
      </c>
      <c r="I24" s="120">
        <v>12613</v>
      </c>
      <c r="J24" s="120">
        <v>12613</v>
      </c>
      <c r="K24" s="120">
        <v>12613</v>
      </c>
      <c r="L24" s="120">
        <v>12613</v>
      </c>
    </row>
    <row r="25" spans="1:14" ht="12.75" customHeight="1">
      <c r="A25" s="18" t="s">
        <v>19</v>
      </c>
      <c r="B25" s="13"/>
      <c r="C25" s="13"/>
      <c r="D25" s="13"/>
      <c r="E25" s="80">
        <f t="shared" ref="E25" si="6">SUM(E23:E24,E21)</f>
        <v>62291</v>
      </c>
      <c r="F25" s="82">
        <f t="shared" ref="F25:L25" si="7">SUM(F23:F24,F21)</f>
        <v>68823</v>
      </c>
      <c r="G25" s="82">
        <f t="shared" si="7"/>
        <v>63046</v>
      </c>
      <c r="H25" s="80">
        <f t="shared" ca="1" si="7"/>
        <v>61305.824260000001</v>
      </c>
      <c r="I25" s="80">
        <f t="shared" ca="1" si="7"/>
        <v>60566.401623899998</v>
      </c>
      <c r="J25" s="80">
        <f t="shared" ca="1" si="7"/>
        <v>53727.298802544668</v>
      </c>
      <c r="K25" s="80">
        <f t="shared" ca="1" si="7"/>
        <v>52777.4540317067</v>
      </c>
      <c r="L25" s="80">
        <f t="shared" ca="1" si="7"/>
        <v>51614.511378828014</v>
      </c>
      <c r="M25" s="32"/>
    </row>
    <row r="26" spans="1:14" ht="12.75" customHeight="1">
      <c r="E26" s="116"/>
      <c r="F26" s="78"/>
      <c r="G26" s="78"/>
      <c r="H26" s="85"/>
      <c r="I26" s="85"/>
      <c r="J26" s="85"/>
      <c r="K26" s="85"/>
      <c r="L26" s="85"/>
    </row>
    <row r="27" spans="1:14" ht="12.75" customHeight="1">
      <c r="A27" s="1" t="s">
        <v>79</v>
      </c>
      <c r="E27" s="120">
        <v>11199</v>
      </c>
      <c r="F27" s="120">
        <v>10981</v>
      </c>
      <c r="G27" s="120">
        <v>14602</v>
      </c>
      <c r="H27" s="84">
        <f ca="1">+Equity!H14</f>
        <v>14824.054053933167</v>
      </c>
      <c r="I27" s="84">
        <f ca="1">+Equity!I14</f>
        <v>15495.966356218127</v>
      </c>
      <c r="J27" s="84">
        <f ca="1">+Equity!J14</f>
        <v>16184.755813004322</v>
      </c>
      <c r="K27" s="84">
        <f ca="1">+Equity!K14</f>
        <v>17443.851187909026</v>
      </c>
      <c r="L27" s="84">
        <f ca="1">+Equity!L14</f>
        <v>18723.177988726304</v>
      </c>
      <c r="N27" s="1" t="s">
        <v>124</v>
      </c>
    </row>
    <row r="28" spans="1:14" ht="12.75" customHeight="1">
      <c r="A28" s="18" t="s">
        <v>20</v>
      </c>
      <c r="B28" s="13"/>
      <c r="C28" s="13"/>
      <c r="D28" s="13"/>
      <c r="E28" s="80">
        <f t="shared" ref="E28" si="8">SUM(E27,E25)</f>
        <v>73490</v>
      </c>
      <c r="F28" s="82">
        <f t="shared" ref="F28:L28" si="9">SUM(F27,F25)</f>
        <v>79804</v>
      </c>
      <c r="G28" s="82">
        <f t="shared" si="9"/>
        <v>77648</v>
      </c>
      <c r="H28" s="82">
        <f t="shared" ca="1" si="9"/>
        <v>76129.878313933164</v>
      </c>
      <c r="I28" s="82">
        <f t="shared" ca="1" si="9"/>
        <v>76062.367980118128</v>
      </c>
      <c r="J28" s="82">
        <f t="shared" ca="1" si="9"/>
        <v>69912.054615548986</v>
      </c>
      <c r="K28" s="82">
        <f t="shared" ca="1" si="9"/>
        <v>70221.305219615722</v>
      </c>
      <c r="L28" s="82">
        <f t="shared" ca="1" si="9"/>
        <v>70337.689367554325</v>
      </c>
    </row>
    <row r="29" spans="1:14" ht="12.75" customHeight="1">
      <c r="E29" s="116"/>
      <c r="F29" s="78"/>
      <c r="G29" s="78"/>
      <c r="H29" s="78"/>
      <c r="I29" s="78"/>
      <c r="J29" s="78"/>
      <c r="K29" s="78"/>
      <c r="L29" s="78"/>
    </row>
    <row r="30" spans="1:14" ht="12.75" customHeight="1">
      <c r="A30" s="12" t="s">
        <v>21</v>
      </c>
      <c r="D30" s="24"/>
      <c r="E30" s="86">
        <f>+E17-E28</f>
        <v>0</v>
      </c>
      <c r="F30" s="86">
        <f>+F17-F28</f>
        <v>0</v>
      </c>
      <c r="G30" s="86">
        <f t="shared" ref="G30:L30" si="10">+G17-G28</f>
        <v>0</v>
      </c>
      <c r="H30" s="86">
        <f t="shared" ca="1" si="10"/>
        <v>0</v>
      </c>
      <c r="I30" s="86">
        <f t="shared" ca="1" si="10"/>
        <v>0</v>
      </c>
      <c r="J30" s="86">
        <f t="shared" ca="1" si="10"/>
        <v>0</v>
      </c>
      <c r="K30" s="86">
        <f t="shared" ca="1" si="10"/>
        <v>0</v>
      </c>
      <c r="L30" s="86">
        <f t="shared" ca="1" si="10"/>
        <v>0</v>
      </c>
      <c r="N30" s="1" t="s">
        <v>91</v>
      </c>
    </row>
    <row r="31" spans="1:14" ht="12.75" customHeight="1">
      <c r="E31" s="49"/>
    </row>
    <row r="32" spans="1:14" ht="12.75" customHeight="1">
      <c r="A32" s="1" t="s">
        <v>13</v>
      </c>
      <c r="E32" s="49"/>
    </row>
    <row r="33" spans="1:14" ht="12.75" customHeight="1">
      <c r="A33" s="60" t="s">
        <v>53</v>
      </c>
      <c r="B33" s="55"/>
      <c r="C33" s="55"/>
      <c r="D33" s="55"/>
      <c r="E33" s="56">
        <f>+'Income Statement'!E25</f>
        <v>6379</v>
      </c>
      <c r="F33" s="56">
        <f>+'Income Statement'!F25</f>
        <v>4908</v>
      </c>
      <c r="G33" s="56">
        <f>+'Income Statement'!G25</f>
        <v>12559</v>
      </c>
      <c r="H33" s="56">
        <f ca="1">+'Income Statement'!H25</f>
        <v>7275.670407503233</v>
      </c>
      <c r="I33" s="56">
        <f ca="1">+'Income Statement'!I25</f>
        <v>7404.7041616376637</v>
      </c>
      <c r="J33" s="56">
        <f ca="1">+'Income Statement'!J25</f>
        <v>7606.9764593991813</v>
      </c>
      <c r="K33" s="56">
        <f ca="1">+'Income Statement'!K25</f>
        <v>7800.0868751185953</v>
      </c>
      <c r="L33" s="56">
        <f ca="1">+'Income Statement'!L25</f>
        <v>7950.5141730935684</v>
      </c>
      <c r="N33" s="1" t="s">
        <v>77</v>
      </c>
    </row>
    <row r="34" spans="1:14" s="32" customFormat="1" ht="12.75" customHeight="1">
      <c r="A34" s="32" t="s">
        <v>75</v>
      </c>
      <c r="E34" s="121">
        <f t="shared" ref="E34" si="11">+E10/E21</f>
        <v>1.1321350839008635</v>
      </c>
      <c r="F34" s="57">
        <f t="shared" ref="F34:L34" si="12">+F10/F21</f>
        <v>1.2991942465206099</v>
      </c>
      <c r="G34" s="57">
        <f t="shared" si="12"/>
        <v>0.60678003533568903</v>
      </c>
      <c r="H34" s="57">
        <f t="shared" ca="1" si="12"/>
        <v>0.50524126576495687</v>
      </c>
      <c r="I34" s="57">
        <f t="shared" ca="1" si="12"/>
        <v>0.46309317974957548</v>
      </c>
      <c r="J34" s="57">
        <f t="shared" ca="1" si="12"/>
        <v>8.3402605422780038E-2</v>
      </c>
      <c r="K34" s="57">
        <f t="shared" ca="1" si="12"/>
        <v>8.2170054603724174E-2</v>
      </c>
      <c r="L34" s="57">
        <f t="shared" ca="1" si="12"/>
        <v>8.1356489706657598E-2</v>
      </c>
      <c r="N34" s="32" t="s">
        <v>182</v>
      </c>
    </row>
    <row r="35" spans="1:14" ht="12.75" customHeight="1">
      <c r="A35" s="1" t="s">
        <v>76</v>
      </c>
      <c r="E35" s="122">
        <f t="shared" ref="E35" si="13">+E33/E27</f>
        <v>0.56960442896687202</v>
      </c>
      <c r="F35" s="17">
        <f t="shared" ref="F35:L35" si="14">+F33/F27</f>
        <v>0.44695382934159</v>
      </c>
      <c r="G35" s="17">
        <f t="shared" si="14"/>
        <v>0.86008765922476371</v>
      </c>
      <c r="H35" s="17">
        <f t="shared" ca="1" si="14"/>
        <v>0.49080166471551878</v>
      </c>
      <c r="I35" s="17">
        <f t="shared" ca="1" si="14"/>
        <v>0.47784720174397832</v>
      </c>
      <c r="J35" s="17">
        <f t="shared" ca="1" si="14"/>
        <v>0.4700087259448818</v>
      </c>
      <c r="K35" s="17">
        <f t="shared" ca="1" si="14"/>
        <v>0.44715394502591965</v>
      </c>
      <c r="L35" s="17">
        <f t="shared" ca="1" si="14"/>
        <v>0.42463486582677218</v>
      </c>
      <c r="N35" s="1" t="s">
        <v>183</v>
      </c>
    </row>
    <row r="36" spans="1:14" ht="12.75" customHeight="1">
      <c r="A36" s="1" t="s">
        <v>82</v>
      </c>
      <c r="E36" s="34">
        <f>+E23-E10</f>
        <v>20820</v>
      </c>
      <c r="F36" s="14">
        <f>+F23-F10</f>
        <v>19771</v>
      </c>
      <c r="G36" s="14">
        <f t="shared" ref="G36:L36" si="15">+G23-G10</f>
        <v>21331</v>
      </c>
      <c r="H36" s="14">
        <f t="shared" ca="1" si="15"/>
        <v>22544.037522231214</v>
      </c>
      <c r="I36" s="14">
        <f t="shared" ca="1" si="15"/>
        <v>22155.55506536657</v>
      </c>
      <c r="J36" s="14">
        <f t="shared" ca="1" si="15"/>
        <v>21629.249146166661</v>
      </c>
      <c r="K36" s="14">
        <f t="shared" ca="1" si="15"/>
        <v>20409.628630483036</v>
      </c>
      <c r="L36" s="14">
        <f t="shared" ca="1" si="15"/>
        <v>19064.13772359211</v>
      </c>
      <c r="N36" s="1" t="s">
        <v>184</v>
      </c>
    </row>
    <row r="37" spans="1:14" ht="12.75" customHeight="1"/>
    <row r="38" spans="1:14" ht="12.75" customHeight="1"/>
    <row r="39" spans="1:14" ht="12.75" customHeight="1"/>
    <row r="40" spans="1:14" ht="12.75" customHeight="1"/>
    <row r="41" spans="1:14" ht="12.75" customHeight="1"/>
    <row r="42" spans="1:14" ht="12.75" customHeight="1">
      <c r="A42" s="71" t="s">
        <v>222</v>
      </c>
    </row>
    <row r="43" spans="1:14" ht="12.75" customHeight="1">
      <c r="A43" s="71" t="s">
        <v>218</v>
      </c>
    </row>
    <row r="44" spans="1:14" ht="12.75" customHeight="1"/>
    <row r="45" spans="1:14" ht="12.75" customHeight="1"/>
    <row r="46" spans="1:14" ht="12.75" customHeight="1"/>
    <row r="47" spans="1:14" ht="12.75" customHeight="1">
      <c r="A47" s="37"/>
    </row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3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3" spans="1:20" ht="12.75" customHeight="1"/>
    <row r="4" spans="1:20" ht="12.75" customHeight="1"/>
    <row r="5" spans="1:20" ht="12.75" customHeight="1"/>
    <row r="6" spans="1:20" ht="12.75" customHeight="1">
      <c r="E6" s="2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5</v>
      </c>
      <c r="E8" s="7"/>
      <c r="F8" s="7"/>
      <c r="G8" s="7"/>
      <c r="M8" s="46"/>
      <c r="N8" s="46"/>
    </row>
    <row r="9" spans="1:20" ht="3" customHeight="1">
      <c r="E9" s="7"/>
      <c r="F9" s="7"/>
      <c r="G9" s="7"/>
    </row>
    <row r="10" spans="1:20" ht="12.75" customHeight="1">
      <c r="A10" s="37" t="s">
        <v>53</v>
      </c>
      <c r="H10" s="25">
        <f ca="1">+'Income Statement'!H25</f>
        <v>7275.670407503233</v>
      </c>
      <c r="I10" s="25">
        <f ca="1">+'Income Statement'!I25</f>
        <v>7404.7041616376637</v>
      </c>
      <c r="J10" s="25">
        <f ca="1">+'Income Statement'!J25</f>
        <v>7606.9764593991813</v>
      </c>
      <c r="K10" s="25">
        <f ca="1">+'Income Statement'!K25</f>
        <v>7800.0868751185953</v>
      </c>
      <c r="L10" s="25">
        <f ca="1">+'Income Statement'!L25</f>
        <v>7950.5141730935684</v>
      </c>
      <c r="N10" s="1" t="s">
        <v>125</v>
      </c>
    </row>
    <row r="11" spans="1:20" ht="12.75" customHeight="1">
      <c r="A11" s="1" t="s">
        <v>22</v>
      </c>
      <c r="H11" s="26">
        <f>-'PP&amp;E'!H12</f>
        <v>2481.6891799999999</v>
      </c>
      <c r="I11" s="26">
        <f>-'PP&amp;E'!I12</f>
        <v>2585.20174185</v>
      </c>
      <c r="J11" s="26">
        <f>-'PP&amp;E'!J12</f>
        <v>2704.5187453200001</v>
      </c>
      <c r="K11" s="26">
        <f>-'PP&amp;E'!K12</f>
        <v>2813.7136896622951</v>
      </c>
      <c r="L11" s="26">
        <f>-'PP&amp;E'!L12</f>
        <v>2911.164261353038</v>
      </c>
      <c r="N11" s="1" t="s">
        <v>224</v>
      </c>
      <c r="T11" s="14"/>
    </row>
    <row r="12" spans="1:20" ht="12.75" customHeight="1">
      <c r="A12" s="1" t="s">
        <v>23</v>
      </c>
      <c r="H12" s="26">
        <f>-'Working Capital'!H19</f>
        <v>-912.63069616438224</v>
      </c>
      <c r="I12" s="26">
        <f>-'Working Capital'!I19</f>
        <v>114.29349947968149</v>
      </c>
      <c r="J12" s="26">
        <f>-'Working Capital'!J19</f>
        <v>107.96833694571615</v>
      </c>
      <c r="K12" s="26">
        <f>-'Working Capital'!K19</f>
        <v>97.779467103911884</v>
      </c>
      <c r="L12" s="26">
        <f>-'Working Capital'!L19</f>
        <v>66.164106073651055</v>
      </c>
      <c r="N12" s="1" t="s">
        <v>123</v>
      </c>
    </row>
    <row r="13" spans="1:20" ht="12.75" customHeight="1">
      <c r="A13" s="18" t="s">
        <v>24</v>
      </c>
      <c r="B13" s="13"/>
      <c r="C13" s="13"/>
      <c r="D13" s="13"/>
      <c r="E13" s="13"/>
      <c r="F13" s="13"/>
      <c r="G13" s="13"/>
      <c r="H13" s="15">
        <f ca="1">SUM(H10:H12)</f>
        <v>8844.7288913388511</v>
      </c>
      <c r="I13" s="15">
        <f t="shared" ref="I13:L13" ca="1" si="0">SUM(I10:I12)</f>
        <v>10104.199402967344</v>
      </c>
      <c r="J13" s="15">
        <f t="shared" ca="1" si="0"/>
        <v>10419.463541664898</v>
      </c>
      <c r="K13" s="15">
        <f t="shared" ca="1" si="0"/>
        <v>10711.580031884801</v>
      </c>
      <c r="L13" s="15">
        <f t="shared" ca="1" si="0"/>
        <v>10927.842540520258</v>
      </c>
    </row>
    <row r="14" spans="1:20" ht="12.75" customHeight="1">
      <c r="H14" s="14"/>
      <c r="I14" s="14"/>
      <c r="J14" s="14"/>
      <c r="K14" s="14"/>
      <c r="L14" s="14"/>
    </row>
    <row r="15" spans="1:20" ht="12.75" customHeight="1">
      <c r="A15" s="1" t="s">
        <v>25</v>
      </c>
      <c r="H15" s="26">
        <f>-'PP&amp;E'!H11</f>
        <v>-3004.1500599999999</v>
      </c>
      <c r="I15" s="26">
        <f>-'PP&amp;E'!I11</f>
        <v>-2982.9250867499995</v>
      </c>
      <c r="J15" s="26">
        <f>-'PP&amp;E'!J11</f>
        <v>-2974.9706198519998</v>
      </c>
      <c r="K15" s="26">
        <f>-'PP&amp;E'!K11</f>
        <v>-2950.9680159872846</v>
      </c>
      <c r="L15" s="26">
        <f>-'PP&amp;E'!L11</f>
        <v>-2911.1642613530375</v>
      </c>
      <c r="N15" s="1" t="s">
        <v>224</v>
      </c>
    </row>
    <row r="16" spans="1:20" ht="12.75" customHeight="1">
      <c r="A16" s="18" t="s">
        <v>26</v>
      </c>
      <c r="B16" s="13"/>
      <c r="C16" s="13"/>
      <c r="D16" s="13"/>
      <c r="E16" s="13"/>
      <c r="F16" s="13"/>
      <c r="G16" s="13"/>
      <c r="H16" s="15">
        <f>SUM(H15:H15)</f>
        <v>-3004.1500599999999</v>
      </c>
      <c r="I16" s="15">
        <f>SUM(I15:I15)</f>
        <v>-2982.9250867499995</v>
      </c>
      <c r="J16" s="15">
        <f>SUM(J15:J15)</f>
        <v>-2974.9706198519998</v>
      </c>
      <c r="K16" s="15">
        <f>SUM(K15:K15)</f>
        <v>-2950.9680159872846</v>
      </c>
      <c r="L16" s="15">
        <f>SUM(L15:L15)</f>
        <v>-2911.1642613530375</v>
      </c>
    </row>
    <row r="17" spans="1:14" ht="12.75" customHeight="1">
      <c r="H17" s="14"/>
      <c r="I17" s="14"/>
      <c r="J17" s="14"/>
      <c r="K17" s="14"/>
      <c r="L17" s="14"/>
    </row>
    <row r="18" spans="1:14" ht="12.75" customHeight="1">
      <c r="A18" s="59" t="s">
        <v>92</v>
      </c>
      <c r="H18" s="25">
        <f ca="1">-Equity!H41</f>
        <v>-5053.6163535700662</v>
      </c>
      <c r="I18" s="25">
        <f ca="1">-Equity!I41</f>
        <v>-5232.7918593527029</v>
      </c>
      <c r="J18" s="25">
        <f ca="1">-Equity!J41</f>
        <v>-5418.1870026129882</v>
      </c>
      <c r="K18" s="25">
        <f ca="1">-Equity!K41</f>
        <v>-5540.9915002138914</v>
      </c>
      <c r="L18" s="25">
        <f ca="1">-Equity!L41</f>
        <v>-5671.1873722762921</v>
      </c>
      <c r="N18" s="1" t="s">
        <v>124</v>
      </c>
    </row>
    <row r="19" spans="1:14" ht="12.75" customHeight="1">
      <c r="A19" s="59" t="s">
        <v>93</v>
      </c>
      <c r="H19" s="26">
        <f>-Equity!H32</f>
        <v>-2000</v>
      </c>
      <c r="I19" s="26">
        <f>-Equity!I32</f>
        <v>-1500</v>
      </c>
      <c r="J19" s="26">
        <f>-Equity!J32</f>
        <v>-1500</v>
      </c>
      <c r="K19" s="26">
        <f>-Equity!K32</f>
        <v>-1000</v>
      </c>
      <c r="L19" s="26">
        <f>-Equity!L32</f>
        <v>-1000</v>
      </c>
      <c r="N19" s="1" t="s">
        <v>124</v>
      </c>
    </row>
    <row r="20" spans="1:14" ht="12.75" customHeight="1">
      <c r="A20" s="59" t="s">
        <v>136</v>
      </c>
      <c r="H20" s="26">
        <f ca="1">Debt!H40</f>
        <v>0</v>
      </c>
      <c r="I20" s="26">
        <f ca="1">Debt!I40</f>
        <v>0</v>
      </c>
      <c r="J20" s="26">
        <f ca="1">Debt!J40</f>
        <v>808.24914616666138</v>
      </c>
      <c r="K20" s="26">
        <f ca="1">Debt!K40</f>
        <v>-219.62051568362585</v>
      </c>
      <c r="L20" s="26">
        <f ca="1">Debt!L40</f>
        <v>-345.49090689092736</v>
      </c>
      <c r="N20" s="59" t="s">
        <v>70</v>
      </c>
    </row>
    <row r="21" spans="1:14" ht="12.75" customHeight="1">
      <c r="A21" s="59" t="s">
        <v>173</v>
      </c>
      <c r="H21" s="26">
        <f>+Debt!H41</f>
        <v>-1000</v>
      </c>
      <c r="I21" s="26">
        <f>+Debt!I41</f>
        <v>-1000</v>
      </c>
      <c r="J21" s="26">
        <f>+Debt!J41</f>
        <v>-8000</v>
      </c>
      <c r="K21" s="26">
        <f>+Debt!K41</f>
        <v>-1000</v>
      </c>
      <c r="L21" s="26">
        <f>+Debt!L41</f>
        <v>-1000</v>
      </c>
      <c r="N21" s="59" t="s">
        <v>70</v>
      </c>
    </row>
    <row r="22" spans="1:14" ht="12.75" customHeight="1">
      <c r="A22" s="18" t="s">
        <v>27</v>
      </c>
      <c r="B22" s="13"/>
      <c r="C22" s="13"/>
      <c r="D22" s="13"/>
      <c r="E22" s="13"/>
      <c r="F22" s="13"/>
      <c r="G22" s="15"/>
      <c r="H22" s="15">
        <f ca="1">SUM(H18:H21)</f>
        <v>-8053.6163535700662</v>
      </c>
      <c r="I22" s="15">
        <f ca="1">SUM(I18:I21)</f>
        <v>-7732.7918593527029</v>
      </c>
      <c r="J22" s="15">
        <f ca="1">SUM(J18:J21)</f>
        <v>-14109.937856446326</v>
      </c>
      <c r="K22" s="15">
        <f ca="1">SUM(K18:K21)</f>
        <v>-7760.6120158975173</v>
      </c>
      <c r="L22" s="15">
        <f ca="1">SUM(L18:L21)</f>
        <v>-8016.6782791672194</v>
      </c>
    </row>
    <row r="23" spans="1:14" ht="12.75" customHeight="1">
      <c r="H23" s="14"/>
      <c r="I23" s="14"/>
      <c r="J23" s="14"/>
      <c r="K23" s="14"/>
      <c r="L23" s="14"/>
    </row>
    <row r="24" spans="1:14" ht="12.75" customHeight="1">
      <c r="A24" s="12" t="s">
        <v>28</v>
      </c>
      <c r="H24" s="14">
        <f ca="1">SUM(H22,H16,H13)</f>
        <v>-2213.0375222312141</v>
      </c>
      <c r="I24" s="14">
        <f ca="1">SUM(I22,I16,I13)</f>
        <v>-611.51754313535821</v>
      </c>
      <c r="J24" s="14">
        <f ca="1">SUM(J22,J16,J13)</f>
        <v>-6665.4449346334277</v>
      </c>
      <c r="K24" s="14">
        <f ca="1">SUM(K22,K16,K13)</f>
        <v>0</v>
      </c>
      <c r="L24" s="14">
        <f ca="1">SUM(L22,L16,L13)</f>
        <v>0</v>
      </c>
    </row>
    <row r="25" spans="1:14" ht="12.75" customHeight="1">
      <c r="H25" s="14"/>
      <c r="I25" s="14"/>
      <c r="J25" s="14"/>
      <c r="K25" s="14"/>
      <c r="L25" s="14"/>
    </row>
    <row r="26" spans="1:14" ht="12.75" customHeight="1">
      <c r="A26" s="12" t="s">
        <v>29</v>
      </c>
      <c r="H26" s="34">
        <f>+G27</f>
        <v>10990</v>
      </c>
      <c r="I26" s="34">
        <f t="shared" ref="I26:L26" ca="1" si="1">+H27</f>
        <v>8776.9624777687859</v>
      </c>
      <c r="J26" s="34">
        <f t="shared" ca="1" si="1"/>
        <v>8165.4449346334277</v>
      </c>
      <c r="K26" s="34">
        <f t="shared" ca="1" si="1"/>
        <v>1500</v>
      </c>
      <c r="L26" s="34">
        <f t="shared" ca="1" si="1"/>
        <v>1500</v>
      </c>
      <c r="M26" s="32"/>
      <c r="N26" s="1" t="s">
        <v>227</v>
      </c>
    </row>
    <row r="27" spans="1:14" ht="12.75" customHeight="1">
      <c r="A27" s="12" t="s">
        <v>30</v>
      </c>
      <c r="G27" s="26">
        <f>+'Balance Sheet'!G10</f>
        <v>10990</v>
      </c>
      <c r="H27" s="8">
        <f ca="1">SUM(H26,H24)</f>
        <v>8776.9624777687859</v>
      </c>
      <c r="I27" s="8">
        <f t="shared" ref="I27:L27" ca="1" si="2">SUM(I26,I24)</f>
        <v>8165.4449346334277</v>
      </c>
      <c r="J27" s="8">
        <f t="shared" ca="1" si="2"/>
        <v>1500</v>
      </c>
      <c r="K27" s="8">
        <f t="shared" ca="1" si="2"/>
        <v>1500</v>
      </c>
      <c r="L27" s="8">
        <f t="shared" ca="1" si="2"/>
        <v>1500</v>
      </c>
      <c r="N27" s="1" t="s">
        <v>228</v>
      </c>
    </row>
    <row r="28" spans="1:14" ht="12.75" customHeight="1"/>
    <row r="29" spans="1:14" ht="12.75" customHeight="1">
      <c r="A29" s="1" t="s">
        <v>13</v>
      </c>
    </row>
    <row r="30" spans="1:14" ht="12.75" customHeight="1">
      <c r="A30" s="13" t="s">
        <v>205</v>
      </c>
      <c r="B30" s="13"/>
      <c r="C30" s="13"/>
      <c r="D30" s="13"/>
      <c r="E30" s="13"/>
      <c r="F30" s="13"/>
      <c r="G30" s="13"/>
      <c r="H30" s="15">
        <f ca="1">SUM(H13,H16)</f>
        <v>5840.5788313388512</v>
      </c>
      <c r="I30" s="15">
        <f t="shared" ref="I30:L30" ca="1" si="3">SUM(I13,I16)</f>
        <v>7121.2743162173447</v>
      </c>
      <c r="J30" s="15">
        <f t="shared" ca="1" si="3"/>
        <v>7444.4929218128982</v>
      </c>
      <c r="K30" s="15">
        <f t="shared" ca="1" si="3"/>
        <v>7760.6120158975173</v>
      </c>
      <c r="L30" s="15">
        <f t="shared" ca="1" si="3"/>
        <v>8016.6782791672204</v>
      </c>
      <c r="N30" s="1" t="s">
        <v>71</v>
      </c>
    </row>
    <row r="31" spans="1:14" ht="12.75" customHeight="1">
      <c r="A31" s="1" t="s">
        <v>219</v>
      </c>
      <c r="H31" s="26">
        <f>+'Income Statement'!H14</f>
        <v>10449.2176</v>
      </c>
      <c r="I31" s="26">
        <f>+'Income Statement'!I14</f>
        <v>10605.955864</v>
      </c>
      <c r="J31" s="26">
        <f>+'Income Statement'!J14</f>
        <v>10818.07498128</v>
      </c>
      <c r="K31" s="26">
        <f>+'Income Statement'!K14</f>
        <v>10980.346105999199</v>
      </c>
      <c r="L31" s="26">
        <f>+'Income Statement'!L14</f>
        <v>11090.149567059192</v>
      </c>
      <c r="N31" s="1" t="s">
        <v>77</v>
      </c>
    </row>
    <row r="32" spans="1:14" ht="12.75" customHeight="1">
      <c r="A32" s="1" t="s">
        <v>73</v>
      </c>
      <c r="H32" s="8">
        <f>+H31+H11</f>
        <v>12930.906779999999</v>
      </c>
      <c r="I32" s="8">
        <f>+I31+I11</f>
        <v>13191.15760585</v>
      </c>
      <c r="J32" s="8">
        <f>+J31+J11</f>
        <v>13522.5937266</v>
      </c>
      <c r="K32" s="8">
        <f>+K31+K11</f>
        <v>13794.059795661495</v>
      </c>
      <c r="L32" s="8">
        <f>+L31+L11</f>
        <v>14001.313828412231</v>
      </c>
      <c r="N32" s="1" t="s">
        <v>223</v>
      </c>
    </row>
    <row r="33" spans="1:1" ht="12.75" customHeight="1"/>
    <row r="34" spans="1:1" ht="12.75" customHeight="1"/>
    <row r="35" spans="1:1" ht="12.75" customHeight="1"/>
    <row r="36" spans="1:1" ht="12.75" customHeight="1"/>
    <row r="37" spans="1:1" ht="12.75" customHeight="1"/>
    <row r="38" spans="1:1" ht="12.75" customHeight="1"/>
    <row r="39" spans="1:1" ht="12.75" customHeight="1"/>
    <row r="40" spans="1:1" ht="12.75" customHeight="1"/>
    <row r="41" spans="1:1" ht="12.75" customHeight="1"/>
    <row r="42" spans="1:1" ht="12.75" customHeight="1"/>
    <row r="43" spans="1:1" ht="12.75" customHeight="1">
      <c r="A43" s="37"/>
    </row>
    <row r="44" spans="1:1" ht="12.75" customHeight="1"/>
    <row r="45" spans="1:1" ht="12.75" customHeight="1"/>
    <row r="46" spans="1:1" ht="12.75" customHeight="1"/>
    <row r="47" spans="1:1" ht="12.75" customHeight="1"/>
    <row r="48" spans="1:1" ht="12.75" customHeight="1"/>
    <row r="49" ht="12.75" customHeight="1"/>
    <row r="50" ht="12.75" customHeight="1"/>
    <row r="51" ht="12.75" customHeight="1"/>
    <row r="52" ht="12.75" customHeight="1"/>
    <row r="53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3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208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3" spans="1:20" ht="12.75" customHeight="1"/>
    <row r="4" spans="1:20" ht="12.75" customHeight="1"/>
    <row r="5" spans="1:20" ht="12.75" customHeight="1"/>
    <row r="6" spans="1:20" ht="12.75" customHeight="1">
      <c r="E6" s="2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207</v>
      </c>
      <c r="E8" s="7"/>
      <c r="F8" s="7"/>
      <c r="G8" s="7"/>
      <c r="M8" s="46"/>
      <c r="N8" s="46"/>
    </row>
    <row r="9" spans="1:20" ht="3" customHeight="1">
      <c r="E9" s="7"/>
      <c r="F9" s="7"/>
      <c r="G9" s="7"/>
    </row>
    <row r="10" spans="1:20" ht="12.75" customHeight="1">
      <c r="A10" s="1" t="s">
        <v>211</v>
      </c>
      <c r="H10" s="34">
        <f>+G13</f>
        <v>17589</v>
      </c>
      <c r="I10" s="34">
        <f t="shared" ref="I10:L10" si="0">+H13</f>
        <v>18111.460879999999</v>
      </c>
      <c r="J10" s="34">
        <f t="shared" si="0"/>
        <v>18509.1842249</v>
      </c>
      <c r="K10" s="34">
        <f t="shared" si="0"/>
        <v>18779.636099431998</v>
      </c>
      <c r="L10" s="34">
        <f t="shared" si="0"/>
        <v>18916.890425756988</v>
      </c>
      <c r="N10" s="1" t="s">
        <v>140</v>
      </c>
    </row>
    <row r="11" spans="1:20" ht="12.75" customHeight="1">
      <c r="A11" s="1" t="s">
        <v>31</v>
      </c>
      <c r="E11" s="120">
        <v>3040</v>
      </c>
      <c r="F11" s="120">
        <v>2969</v>
      </c>
      <c r="G11" s="120">
        <v>3282</v>
      </c>
      <c r="H11" s="74">
        <f>+H16*H17</f>
        <v>3004.1500599999999</v>
      </c>
      <c r="I11" s="74">
        <f t="shared" ref="I11:L11" si="1">+I16*I17</f>
        <v>2982.9250867499995</v>
      </c>
      <c r="J11" s="74">
        <f t="shared" si="1"/>
        <v>2974.9706198519998</v>
      </c>
      <c r="K11" s="74">
        <f t="shared" si="1"/>
        <v>2950.9680159872846</v>
      </c>
      <c r="L11" s="74">
        <f t="shared" si="1"/>
        <v>2911.1642613530375</v>
      </c>
      <c r="N11" s="1" t="s">
        <v>105</v>
      </c>
      <c r="T11" s="14"/>
    </row>
    <row r="12" spans="1:20" ht="12.75" customHeight="1">
      <c r="A12" s="1" t="s">
        <v>32</v>
      </c>
      <c r="E12" s="120">
        <v>-2368</v>
      </c>
      <c r="F12" s="120">
        <v>-2369</v>
      </c>
      <c r="G12" s="120">
        <v>-2399</v>
      </c>
      <c r="H12" s="74">
        <f>-H16*H18</f>
        <v>-2481.6891799999999</v>
      </c>
      <c r="I12" s="74">
        <f t="shared" ref="I12:L12" si="2">-I16*I18</f>
        <v>-2585.20174185</v>
      </c>
      <c r="J12" s="74">
        <f t="shared" si="2"/>
        <v>-2704.5187453200001</v>
      </c>
      <c r="K12" s="74">
        <f t="shared" si="2"/>
        <v>-2813.7136896622951</v>
      </c>
      <c r="L12" s="74">
        <f t="shared" si="2"/>
        <v>-2911.164261353038</v>
      </c>
      <c r="N12" s="1" t="s">
        <v>106</v>
      </c>
    </row>
    <row r="13" spans="1:20" ht="12.75" customHeight="1">
      <c r="A13" s="18" t="s">
        <v>209</v>
      </c>
      <c r="B13" s="13"/>
      <c r="C13" s="13"/>
      <c r="D13" s="13"/>
      <c r="E13" s="87"/>
      <c r="F13" s="87"/>
      <c r="G13" s="88">
        <f>+'Balance Sheet'!G15</f>
        <v>17589</v>
      </c>
      <c r="H13" s="82">
        <f>SUM(H10:H12)</f>
        <v>18111.460879999999</v>
      </c>
      <c r="I13" s="82">
        <f t="shared" ref="I13:L13" si="3">SUM(I10:I12)</f>
        <v>18509.1842249</v>
      </c>
      <c r="J13" s="82">
        <f t="shared" si="3"/>
        <v>18779.636099431998</v>
      </c>
      <c r="K13" s="82">
        <f t="shared" si="3"/>
        <v>18916.890425756988</v>
      </c>
      <c r="L13" s="82">
        <f t="shared" si="3"/>
        <v>18916.890425756988</v>
      </c>
      <c r="N13" s="1" t="s">
        <v>210</v>
      </c>
    </row>
    <row r="14" spans="1:20" ht="12.75" customHeight="1">
      <c r="E14" s="61"/>
      <c r="F14" s="61"/>
      <c r="G14" s="61"/>
      <c r="H14" s="61"/>
      <c r="I14" s="61"/>
      <c r="J14" s="61"/>
      <c r="K14" s="61"/>
      <c r="L14" s="61"/>
    </row>
    <row r="15" spans="1:20" ht="12.75" customHeight="1">
      <c r="A15" s="1" t="s">
        <v>13</v>
      </c>
      <c r="E15" s="61"/>
      <c r="F15" s="61"/>
      <c r="G15" s="61"/>
      <c r="H15" s="61"/>
      <c r="I15" s="61"/>
      <c r="J15" s="61"/>
      <c r="K15" s="61"/>
      <c r="L15" s="61"/>
    </row>
    <row r="16" spans="1:20" ht="12.75" customHeight="1">
      <c r="A16" s="13" t="s">
        <v>33</v>
      </c>
      <c r="B16" s="13"/>
      <c r="C16" s="13"/>
      <c r="D16" s="13"/>
      <c r="E16" s="88">
        <f>+'Income Statement'!E10</f>
        <v>62799</v>
      </c>
      <c r="F16" s="88">
        <f>+'Income Statement'!F10</f>
        <v>63525</v>
      </c>
      <c r="G16" s="88">
        <f>+'Income Statement'!G10</f>
        <v>64661</v>
      </c>
      <c r="H16" s="88">
        <f>+'Income Statement'!H10</f>
        <v>65307.61</v>
      </c>
      <c r="I16" s="88">
        <f>+'Income Statement'!I10</f>
        <v>66287.224149999995</v>
      </c>
      <c r="J16" s="88">
        <f>+'Income Statement'!J10</f>
        <v>67612.968632999997</v>
      </c>
      <c r="K16" s="88">
        <f>+'Income Statement'!K10</f>
        <v>68627.163162494995</v>
      </c>
      <c r="L16" s="88">
        <f>+'Income Statement'!L10</f>
        <v>69313.434794119952</v>
      </c>
      <c r="N16" s="1" t="s">
        <v>64</v>
      </c>
    </row>
    <row r="17" spans="1:14" ht="12.75" customHeight="1">
      <c r="A17" s="1" t="s">
        <v>109</v>
      </c>
      <c r="E17" s="81">
        <f>+E11/E16</f>
        <v>4.8408414146722083E-2</v>
      </c>
      <c r="F17" s="81">
        <f t="shared" ref="F17:G17" si="4">+F11/F16</f>
        <v>4.6737504919323103E-2</v>
      </c>
      <c r="G17" s="81">
        <f t="shared" si="4"/>
        <v>5.0757025100137639E-2</v>
      </c>
      <c r="H17" s="89">
        <v>4.5999999999999999E-2</v>
      </c>
      <c r="I17" s="89">
        <v>4.4999999999999998E-2</v>
      </c>
      <c r="J17" s="89">
        <v>4.3999999999999997E-2</v>
      </c>
      <c r="K17" s="89">
        <v>4.2999999999999997E-2</v>
      </c>
      <c r="L17" s="89">
        <v>4.1999999999999996E-2</v>
      </c>
      <c r="N17" s="1" t="s">
        <v>107</v>
      </c>
    </row>
    <row r="18" spans="1:14" ht="12.75" customHeight="1">
      <c r="A18" s="1" t="s">
        <v>110</v>
      </c>
      <c r="E18" s="81">
        <f>-E12/E16</f>
        <v>3.7707606809025622E-2</v>
      </c>
      <c r="F18" s="81">
        <f t="shared" ref="F18:G18" si="5">-F12/F16</f>
        <v>3.7292404565131838E-2</v>
      </c>
      <c r="G18" s="81">
        <f t="shared" si="5"/>
        <v>3.7101189279472944E-2</v>
      </c>
      <c r="H18" s="89">
        <v>3.7999999999999999E-2</v>
      </c>
      <c r="I18" s="89">
        <v>3.9E-2</v>
      </c>
      <c r="J18" s="89">
        <v>0.04</v>
      </c>
      <c r="K18" s="89">
        <v>4.1000000000000002E-2</v>
      </c>
      <c r="L18" s="89">
        <v>4.2000000000000003E-2</v>
      </c>
      <c r="N18" s="1" t="s">
        <v>108</v>
      </c>
    </row>
    <row r="19" spans="1:14" ht="12.75" customHeight="1"/>
    <row r="20" spans="1:14" ht="12.75" customHeight="1"/>
    <row r="21" spans="1:14" ht="12.75" customHeight="1"/>
    <row r="22" spans="1:14" ht="12.75" customHeight="1"/>
    <row r="23" spans="1:14" ht="12.75" customHeight="1"/>
    <row r="24" spans="1:14" ht="12.75" customHeight="1"/>
    <row r="25" spans="1:14" ht="12.75" customHeight="1">
      <c r="M25" s="32"/>
      <c r="N25" s="32"/>
    </row>
    <row r="26" spans="1:14" ht="12.75" customHeight="1"/>
    <row r="27" spans="1:14" ht="12.75" customHeight="1"/>
    <row r="28" spans="1:14" ht="12.75" customHeight="1"/>
    <row r="29" spans="1:14" ht="12.75" customHeight="1"/>
    <row r="30" spans="1:14" ht="12.75" customHeight="1"/>
    <row r="31" spans="1:14" ht="12.75" customHeight="1"/>
    <row r="32" spans="1:14" ht="12.75" customHeight="1"/>
    <row r="33" spans="1:1" ht="12.75" customHeight="1"/>
    <row r="34" spans="1:1" ht="12.75" customHeight="1"/>
    <row r="35" spans="1:1" ht="12.75" customHeight="1"/>
    <row r="36" spans="1:1" ht="12.75" customHeight="1"/>
    <row r="43" spans="1:1">
      <c r="A43" s="37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3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10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3" spans="1:20" ht="12.75" customHeight="1"/>
    <row r="4" spans="1:20" ht="12.75" customHeight="1"/>
    <row r="5" spans="1:20" ht="12.75" customHeight="1"/>
    <row r="6" spans="1:20" ht="12.75" customHeight="1">
      <c r="E6" s="115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7</v>
      </c>
      <c r="E8" s="7"/>
      <c r="F8" s="7"/>
      <c r="G8" s="7"/>
      <c r="M8" s="46"/>
      <c r="N8" s="46"/>
    </row>
    <row r="9" spans="1:20" ht="3" customHeight="1">
      <c r="E9" s="7"/>
      <c r="F9" s="7"/>
      <c r="G9" s="7"/>
    </row>
    <row r="10" spans="1:20" ht="12.75" customHeight="1">
      <c r="A10" s="1" t="s">
        <v>57</v>
      </c>
      <c r="E10" s="68">
        <f>+'Balance Sheet'!E11</f>
        <v>6694</v>
      </c>
      <c r="F10" s="25">
        <f>+'Balance Sheet'!F11</f>
        <v>7024</v>
      </c>
      <c r="G10" s="25">
        <f>+'Balance Sheet'!G11</f>
        <v>7142</v>
      </c>
      <c r="H10" s="14">
        <f>H23/H27*H22</f>
        <v>7156.998356164383</v>
      </c>
      <c r="I10" s="14">
        <f>I23/I27*I22</f>
        <v>7244.5053715846989</v>
      </c>
      <c r="J10" s="14">
        <f>J23/J27*J22</f>
        <v>7409.6403981369858</v>
      </c>
      <c r="K10" s="14">
        <f>K23/K27*K22</f>
        <v>7520.7850041090405</v>
      </c>
      <c r="L10" s="14">
        <f>L23/L27*L22</f>
        <v>7595.9928541501313</v>
      </c>
      <c r="N10" s="1" t="s">
        <v>114</v>
      </c>
    </row>
    <row r="11" spans="1:20" ht="12.75" customHeight="1">
      <c r="A11" s="1" t="s">
        <v>54</v>
      </c>
      <c r="E11" s="84">
        <f>+'Balance Sheet'!E12</f>
        <v>3631</v>
      </c>
      <c r="F11" s="26">
        <f>+'Balance Sheet'!F12</f>
        <v>4493</v>
      </c>
      <c r="G11" s="26">
        <f>+'Balance Sheet'!G12</f>
        <v>3761</v>
      </c>
      <c r="H11" s="8">
        <f>+H24*H22</f>
        <v>3918.4566</v>
      </c>
      <c r="I11" s="8">
        <f t="shared" ref="I11:L11" si="0">+I24*I22</f>
        <v>3977.2334489999994</v>
      </c>
      <c r="J11" s="8">
        <f t="shared" si="0"/>
        <v>4056.7781179799995</v>
      </c>
      <c r="K11" s="8">
        <f t="shared" si="0"/>
        <v>4117.6297897496997</v>
      </c>
      <c r="L11" s="8">
        <f t="shared" si="0"/>
        <v>4158.8060876471973</v>
      </c>
      <c r="N11" s="1" t="s">
        <v>118</v>
      </c>
      <c r="T11" s="14"/>
    </row>
    <row r="12" spans="1:20" ht="12.75" customHeight="1">
      <c r="A12" s="18" t="s">
        <v>34</v>
      </c>
      <c r="B12" s="13"/>
      <c r="C12" s="13"/>
      <c r="D12" s="13"/>
      <c r="E12" s="82">
        <f t="shared" ref="E12" si="1">SUM(E10:E11)</f>
        <v>10325</v>
      </c>
      <c r="F12" s="15">
        <f t="shared" ref="F12:L12" si="2">SUM(F10:F11)</f>
        <v>11517</v>
      </c>
      <c r="G12" s="15">
        <f t="shared" si="2"/>
        <v>10903</v>
      </c>
      <c r="H12" s="15">
        <f t="shared" si="2"/>
        <v>11075.454956164383</v>
      </c>
      <c r="I12" s="15">
        <f t="shared" si="2"/>
        <v>11221.738820584698</v>
      </c>
      <c r="J12" s="15">
        <f t="shared" si="2"/>
        <v>11466.418516116984</v>
      </c>
      <c r="K12" s="15">
        <f t="shared" si="2"/>
        <v>11638.414793858741</v>
      </c>
      <c r="L12" s="15">
        <f t="shared" si="2"/>
        <v>11754.798941797329</v>
      </c>
    </row>
    <row r="13" spans="1:20" ht="12.75" customHeight="1">
      <c r="E13" s="61"/>
      <c r="H13" s="14"/>
      <c r="I13" s="14"/>
      <c r="J13" s="14"/>
      <c r="K13" s="14"/>
      <c r="L13" s="14"/>
    </row>
    <row r="14" spans="1:20" ht="12.75" customHeight="1">
      <c r="A14" s="1" t="s">
        <v>83</v>
      </c>
      <c r="E14" s="68">
        <f>+'Balance Sheet'!E19</f>
        <v>13243</v>
      </c>
      <c r="F14" s="25">
        <f>+'Balance Sheet'!F19</f>
        <v>14017</v>
      </c>
      <c r="G14" s="25">
        <f>+'Balance Sheet'!G19</f>
        <v>17112</v>
      </c>
      <c r="H14" s="14">
        <f t="shared" ref="H14:L15" si="3">+H25*H$22</f>
        <v>16326.9025</v>
      </c>
      <c r="I14" s="14">
        <f t="shared" si="3"/>
        <v>16571.806037499999</v>
      </c>
      <c r="J14" s="14">
        <f t="shared" si="3"/>
        <v>16903.242158249999</v>
      </c>
      <c r="K14" s="14">
        <f t="shared" si="3"/>
        <v>17156.790790623749</v>
      </c>
      <c r="L14" s="14">
        <f t="shared" si="3"/>
        <v>17328.358698529988</v>
      </c>
      <c r="N14" s="1" t="s">
        <v>119</v>
      </c>
    </row>
    <row r="15" spans="1:20" ht="12.75" customHeight="1">
      <c r="A15" s="1" t="s">
        <v>59</v>
      </c>
      <c r="E15" s="84">
        <f>+'Balance Sheet'!E20</f>
        <v>1000</v>
      </c>
      <c r="F15" s="26">
        <f>+'Balance Sheet'!F20</f>
        <v>1000</v>
      </c>
      <c r="G15" s="26">
        <f>+'Balance Sheet'!G20</f>
        <v>1000</v>
      </c>
      <c r="H15" s="8">
        <f t="shared" si="3"/>
        <v>1044.9217599999999</v>
      </c>
      <c r="I15" s="8">
        <f t="shared" si="3"/>
        <v>1060.5955864</v>
      </c>
      <c r="J15" s="8">
        <f t="shared" si="3"/>
        <v>1081.8074981279999</v>
      </c>
      <c r="K15" s="8">
        <f t="shared" si="3"/>
        <v>1098.0346105999199</v>
      </c>
      <c r="L15" s="8">
        <f t="shared" si="3"/>
        <v>1109.0149567059193</v>
      </c>
      <c r="N15" s="1" t="s">
        <v>127</v>
      </c>
    </row>
    <row r="16" spans="1:20" ht="12.75" customHeight="1">
      <c r="A16" s="18" t="s">
        <v>35</v>
      </c>
      <c r="B16" s="13"/>
      <c r="C16" s="13"/>
      <c r="D16" s="13"/>
      <c r="E16" s="82">
        <f t="shared" ref="E16" si="4">SUM(E14:E15)</f>
        <v>14243</v>
      </c>
      <c r="F16" s="15">
        <f t="shared" ref="F16:L16" si="5">SUM(F14:F15)</f>
        <v>15017</v>
      </c>
      <c r="G16" s="15">
        <f t="shared" si="5"/>
        <v>18112</v>
      </c>
      <c r="H16" s="15">
        <f t="shared" si="5"/>
        <v>17371.824260000001</v>
      </c>
      <c r="I16" s="15">
        <f t="shared" si="5"/>
        <v>17632.401623899998</v>
      </c>
      <c r="J16" s="15">
        <f t="shared" si="5"/>
        <v>17985.049656378</v>
      </c>
      <c r="K16" s="15">
        <f t="shared" si="5"/>
        <v>18254.825401223668</v>
      </c>
      <c r="L16" s="15">
        <f t="shared" si="5"/>
        <v>18437.373655235908</v>
      </c>
    </row>
    <row r="17" spans="1:14" ht="12.75" customHeight="1">
      <c r="D17" s="8"/>
      <c r="E17" s="61"/>
      <c r="H17" s="14"/>
      <c r="I17" s="14"/>
      <c r="J17" s="14"/>
      <c r="K17" s="14"/>
      <c r="L17" s="14"/>
    </row>
    <row r="18" spans="1:14" ht="12.75" customHeight="1">
      <c r="A18" s="12" t="s">
        <v>36</v>
      </c>
      <c r="E18" s="78">
        <f>E12-E16</f>
        <v>-3918</v>
      </c>
      <c r="F18" s="14">
        <f>F12-F16</f>
        <v>-3500</v>
      </c>
      <c r="G18" s="14">
        <f>G12-G16</f>
        <v>-7209</v>
      </c>
      <c r="H18" s="14">
        <f>+H12-H16</f>
        <v>-6296.3693038356178</v>
      </c>
      <c r="I18" s="14">
        <f t="shared" ref="I18:L18" si="6">+I12-I16</f>
        <v>-6410.6628033152992</v>
      </c>
      <c r="J18" s="14">
        <f t="shared" si="6"/>
        <v>-6518.6311402610154</v>
      </c>
      <c r="K18" s="14">
        <f t="shared" si="6"/>
        <v>-6616.4106073649273</v>
      </c>
      <c r="L18" s="14">
        <f t="shared" si="6"/>
        <v>-6682.5747134385783</v>
      </c>
      <c r="N18" s="1" t="s">
        <v>61</v>
      </c>
    </row>
    <row r="19" spans="1:14" ht="12.75" customHeight="1">
      <c r="A19" s="12" t="s">
        <v>23</v>
      </c>
      <c r="E19" s="74"/>
      <c r="F19" s="8">
        <f>+F18-E18</f>
        <v>418</v>
      </c>
      <c r="G19" s="8">
        <f>+G18-F18</f>
        <v>-3709</v>
      </c>
      <c r="H19" s="8">
        <f t="shared" ref="H19:L19" si="7">+H18-G18</f>
        <v>912.63069616438224</v>
      </c>
      <c r="I19" s="8">
        <f t="shared" si="7"/>
        <v>-114.29349947968149</v>
      </c>
      <c r="J19" s="8">
        <f t="shared" si="7"/>
        <v>-107.96833694571615</v>
      </c>
      <c r="K19" s="8">
        <f t="shared" si="7"/>
        <v>-97.779467103911884</v>
      </c>
      <c r="L19" s="8">
        <f t="shared" si="7"/>
        <v>-66.164106073651055</v>
      </c>
      <c r="N19" s="1" t="s">
        <v>122</v>
      </c>
    </row>
    <row r="20" spans="1:14" ht="12.75" customHeight="1">
      <c r="E20" s="61"/>
    </row>
    <row r="21" spans="1:14" ht="12.75" customHeight="1">
      <c r="A21" s="1" t="s">
        <v>13</v>
      </c>
      <c r="E21" s="61"/>
    </row>
    <row r="22" spans="1:14" ht="12.75" customHeight="1">
      <c r="A22" s="13" t="s">
        <v>33</v>
      </c>
      <c r="B22" s="13"/>
      <c r="C22" s="13"/>
      <c r="D22" s="13"/>
      <c r="E22" s="88">
        <f>+'Income Statement'!E10</f>
        <v>62799</v>
      </c>
      <c r="F22" s="88">
        <f>+'Income Statement'!F10</f>
        <v>63525</v>
      </c>
      <c r="G22" s="88">
        <f>+'Income Statement'!G10</f>
        <v>64661</v>
      </c>
      <c r="H22" s="88">
        <f>+'Income Statement'!H10</f>
        <v>65307.61</v>
      </c>
      <c r="I22" s="88">
        <f>+'Income Statement'!I10</f>
        <v>66287.224149999995</v>
      </c>
      <c r="J22" s="88">
        <f>+'Income Statement'!J10</f>
        <v>67612.968632999997</v>
      </c>
      <c r="K22" s="88">
        <f>+'Income Statement'!K10</f>
        <v>68627.163162494995</v>
      </c>
      <c r="L22" s="88">
        <f>+'Income Statement'!L10</f>
        <v>69313.434794119952</v>
      </c>
      <c r="N22" s="1" t="s">
        <v>64</v>
      </c>
    </row>
    <row r="23" spans="1:14" ht="12.75" customHeight="1">
      <c r="A23" s="1" t="s">
        <v>37</v>
      </c>
      <c r="E23" s="28">
        <f>E10/E22*E27</f>
        <v>39.013423780633453</v>
      </c>
      <c r="F23" s="28">
        <f>F10/F22*F27</f>
        <v>40.35828414010232</v>
      </c>
      <c r="G23" s="28">
        <f>G10/G22*G27</f>
        <v>40.315336910966423</v>
      </c>
      <c r="H23" s="76">
        <v>40</v>
      </c>
      <c r="I23" s="76">
        <v>40</v>
      </c>
      <c r="J23" s="76">
        <v>40</v>
      </c>
      <c r="K23" s="76">
        <v>40</v>
      </c>
      <c r="L23" s="76">
        <v>40</v>
      </c>
      <c r="N23" s="1" t="s">
        <v>185</v>
      </c>
    </row>
    <row r="24" spans="1:14" ht="12.75" customHeight="1">
      <c r="A24" s="1" t="s">
        <v>111</v>
      </c>
      <c r="E24" s="29">
        <f>E11/E$22</f>
        <v>5.7819392028535484E-2</v>
      </c>
      <c r="F24" s="29">
        <f>F11/F$22</f>
        <v>7.0728059818968916E-2</v>
      </c>
      <c r="G24" s="29">
        <f>G11/G$22</f>
        <v>5.8164890737848161E-2</v>
      </c>
      <c r="H24" s="77">
        <v>0.06</v>
      </c>
      <c r="I24" s="77">
        <v>0.06</v>
      </c>
      <c r="J24" s="77">
        <v>0.06</v>
      </c>
      <c r="K24" s="77">
        <v>0.06</v>
      </c>
      <c r="L24" s="77">
        <v>0.06</v>
      </c>
      <c r="N24" s="1" t="s">
        <v>115</v>
      </c>
    </row>
    <row r="25" spans="1:14" ht="12.75" customHeight="1">
      <c r="A25" s="1" t="s">
        <v>112</v>
      </c>
      <c r="E25" s="29">
        <f>E14/E$22</f>
        <v>0.21087915412665806</v>
      </c>
      <c r="F25" s="29">
        <f>F14/F$22</f>
        <v>0.22065328610783155</v>
      </c>
      <c r="G25" s="29">
        <f>G14/G$22</f>
        <v>0.2646417469572076</v>
      </c>
      <c r="H25" s="53">
        <v>0.25</v>
      </c>
      <c r="I25" s="53">
        <v>0.25</v>
      </c>
      <c r="J25" s="53">
        <v>0.25</v>
      </c>
      <c r="K25" s="53">
        <v>0.25</v>
      </c>
      <c r="L25" s="53">
        <v>0.25</v>
      </c>
      <c r="M25" s="32"/>
      <c r="N25" s="1" t="s">
        <v>116</v>
      </c>
    </row>
    <row r="26" spans="1:14" ht="12.75" customHeight="1">
      <c r="A26" s="1" t="s">
        <v>113</v>
      </c>
      <c r="E26" s="29">
        <f t="shared" ref="E26:F26" si="8">E15/E$22</f>
        <v>1.5923820443000683E-2</v>
      </c>
      <c r="F26" s="29">
        <f t="shared" si="8"/>
        <v>1.5741833923652106E-2</v>
      </c>
      <c r="G26" s="29">
        <f>G15/G$22</f>
        <v>1.5465272730084596E-2</v>
      </c>
      <c r="H26" s="53">
        <v>1.6E-2</v>
      </c>
      <c r="I26" s="53">
        <v>1.6E-2</v>
      </c>
      <c r="J26" s="53">
        <v>1.6E-2</v>
      </c>
      <c r="K26" s="53">
        <v>1.6E-2</v>
      </c>
      <c r="L26" s="53">
        <v>1.6E-2</v>
      </c>
      <c r="N26" s="1" t="s">
        <v>117</v>
      </c>
    </row>
    <row r="27" spans="1:14" ht="12.75" customHeight="1">
      <c r="A27" s="1" t="s">
        <v>38</v>
      </c>
      <c r="E27" s="30">
        <v>366</v>
      </c>
      <c r="F27" s="30">
        <v>365</v>
      </c>
      <c r="G27" s="30">
        <v>365</v>
      </c>
      <c r="H27" s="30">
        <v>365</v>
      </c>
      <c r="I27" s="30">
        <v>366</v>
      </c>
      <c r="J27" s="30">
        <v>365</v>
      </c>
      <c r="K27" s="30">
        <v>365</v>
      </c>
      <c r="L27" s="30">
        <v>365</v>
      </c>
    </row>
    <row r="28" spans="1:14" ht="12.75" customHeight="1"/>
    <row r="29" spans="1:14" ht="12.75" customHeight="1"/>
    <row r="30" spans="1:14" ht="12.75" customHeight="1"/>
    <row r="31" spans="1:14" ht="12.75" customHeight="1"/>
    <row r="32" spans="1:14" ht="12.75" customHeight="1"/>
    <row r="33" spans="1:1" ht="12.75" customHeight="1"/>
    <row r="34" spans="1:1" ht="12.75" customHeight="1"/>
    <row r="35" spans="1:1" ht="12.75" customHeight="1"/>
    <row r="36" spans="1:1" ht="12.75" customHeight="1"/>
    <row r="37" spans="1:1" ht="12.75" customHeight="1"/>
    <row r="38" spans="1:1" ht="12.75" customHeight="1"/>
    <row r="39" spans="1:1" ht="12.75" customHeight="1"/>
    <row r="40" spans="1:1" ht="12.75" customHeight="1"/>
    <row r="41" spans="1:1" ht="12.75" customHeight="1"/>
    <row r="42" spans="1:1" ht="12.75" customHeight="1">
      <c r="A42" s="37"/>
    </row>
    <row r="43" spans="1:1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0"/>
  <sheetViews>
    <sheetView showGridLines="0" zoomScale="85" zoomScaleNormal="85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9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3" spans="1:20" ht="12.75" customHeight="1"/>
    <row r="4" spans="1:20" ht="12.75" customHeight="1"/>
    <row r="5" spans="1:20" ht="12.75" customHeight="1"/>
    <row r="6" spans="1:20" ht="12.75" customHeight="1">
      <c r="E6" s="115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6</v>
      </c>
      <c r="E8" s="7"/>
      <c r="F8" s="7"/>
      <c r="G8" s="7"/>
      <c r="M8" s="46"/>
      <c r="N8" s="46"/>
    </row>
    <row r="9" spans="1:20" ht="3" customHeight="1">
      <c r="E9" s="7"/>
      <c r="F9" s="7"/>
      <c r="G9" s="7"/>
    </row>
    <row r="10" spans="1:20" ht="12.75" customHeight="1">
      <c r="A10" s="1" t="s">
        <v>142</v>
      </c>
      <c r="H10" s="34">
        <f>+G14</f>
        <v>14602</v>
      </c>
      <c r="I10" s="34">
        <f t="shared" ref="I10:L10" ca="1" si="0">+H14</f>
        <v>14824.054053933167</v>
      </c>
      <c r="J10" s="34">
        <f t="shared" ca="1" si="0"/>
        <v>15495.966356218127</v>
      </c>
      <c r="K10" s="34">
        <f t="shared" ca="1" si="0"/>
        <v>16184.755813004322</v>
      </c>
      <c r="L10" s="34">
        <f t="shared" ca="1" si="0"/>
        <v>17443.851187909026</v>
      </c>
      <c r="N10" s="1" t="s">
        <v>140</v>
      </c>
    </row>
    <row r="11" spans="1:20" ht="12.75" customHeight="1">
      <c r="A11" s="37" t="s">
        <v>104</v>
      </c>
      <c r="H11" s="26">
        <f ca="1">+'Income Statement'!H25</f>
        <v>7275.670407503233</v>
      </c>
      <c r="I11" s="26">
        <f ca="1">+'Income Statement'!I25</f>
        <v>7404.7041616376637</v>
      </c>
      <c r="J11" s="26">
        <f ca="1">+'Income Statement'!J25</f>
        <v>7606.9764593991813</v>
      </c>
      <c r="K11" s="26">
        <f ca="1">+'Income Statement'!K25</f>
        <v>7800.0868751185953</v>
      </c>
      <c r="L11" s="26">
        <f ca="1">+'Income Statement'!L25</f>
        <v>7950.5141730935684</v>
      </c>
      <c r="N11" s="1" t="s">
        <v>64</v>
      </c>
      <c r="T11" s="14"/>
    </row>
    <row r="12" spans="1:20" ht="12.75" customHeight="1">
      <c r="A12" s="1" t="s">
        <v>96</v>
      </c>
      <c r="E12" s="16"/>
      <c r="F12" s="16"/>
      <c r="G12" s="16"/>
      <c r="H12" s="35">
        <f ca="1">-H41</f>
        <v>-5053.6163535700662</v>
      </c>
      <c r="I12" s="35">
        <f t="shared" ref="I12:L12" ca="1" si="1">-I41</f>
        <v>-5232.7918593527029</v>
      </c>
      <c r="J12" s="35">
        <f t="shared" ca="1" si="1"/>
        <v>-5418.1870026129882</v>
      </c>
      <c r="K12" s="35">
        <f t="shared" ca="1" si="1"/>
        <v>-5540.9915002138914</v>
      </c>
      <c r="L12" s="35">
        <f t="shared" ca="1" si="1"/>
        <v>-5671.1873722762921</v>
      </c>
      <c r="N12" s="1" t="s">
        <v>87</v>
      </c>
    </row>
    <row r="13" spans="1:20" ht="12.75" customHeight="1">
      <c r="A13" s="1" t="s">
        <v>97</v>
      </c>
      <c r="E13" s="16"/>
      <c r="F13" s="16"/>
      <c r="G13" s="16"/>
      <c r="H13" s="35">
        <f>-H32</f>
        <v>-2000</v>
      </c>
      <c r="I13" s="35">
        <f t="shared" ref="I13:L13" si="2">-I32</f>
        <v>-1500</v>
      </c>
      <c r="J13" s="35">
        <f t="shared" si="2"/>
        <v>-1500</v>
      </c>
      <c r="K13" s="35">
        <f t="shared" si="2"/>
        <v>-1000</v>
      </c>
      <c r="L13" s="35">
        <f t="shared" si="2"/>
        <v>-1000</v>
      </c>
      <c r="N13" s="59" t="s">
        <v>229</v>
      </c>
    </row>
    <row r="14" spans="1:20" ht="12.75" customHeight="1">
      <c r="A14" s="18" t="s">
        <v>143</v>
      </c>
      <c r="B14" s="13"/>
      <c r="C14" s="13"/>
      <c r="D14" s="13"/>
      <c r="E14" s="13"/>
      <c r="F14" s="13"/>
      <c r="G14" s="27">
        <f>+'Balance Sheet'!G27</f>
        <v>14602</v>
      </c>
      <c r="H14" s="15">
        <f ca="1">SUM(H10:H13)</f>
        <v>14824.054053933167</v>
      </c>
      <c r="I14" s="15">
        <f ca="1">SUM(I10:I13)</f>
        <v>15495.966356218127</v>
      </c>
      <c r="J14" s="15">
        <f ca="1">SUM(J10:J13)</f>
        <v>16184.755813004322</v>
      </c>
      <c r="K14" s="15">
        <f ca="1">SUM(K10:K13)</f>
        <v>17443.851187909026</v>
      </c>
      <c r="L14" s="15">
        <f ca="1">SUM(L10:L13)</f>
        <v>18723.177988726304</v>
      </c>
      <c r="N14" s="1" t="s">
        <v>210</v>
      </c>
    </row>
    <row r="15" spans="1:20" ht="12.75" customHeight="1">
      <c r="A15" s="31"/>
      <c r="B15" s="32"/>
      <c r="C15" s="32"/>
      <c r="D15" s="32"/>
      <c r="E15" s="32"/>
      <c r="F15" s="32"/>
      <c r="G15" s="32"/>
      <c r="H15" s="33"/>
      <c r="I15" s="33"/>
      <c r="J15" s="33"/>
      <c r="K15" s="33"/>
      <c r="L15" s="33"/>
    </row>
    <row r="16" spans="1:20" ht="12.75" customHeight="1">
      <c r="A16" s="90" t="s">
        <v>50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46"/>
      <c r="N16" s="46"/>
    </row>
    <row r="17" spans="1:14" ht="3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</row>
    <row r="18" spans="1:14" ht="12.75" customHeight="1">
      <c r="A18" s="61" t="s">
        <v>144</v>
      </c>
      <c r="B18" s="61"/>
      <c r="C18" s="61"/>
      <c r="D18" s="61"/>
      <c r="E18" s="16">
        <v>1448</v>
      </c>
      <c r="F18" s="74">
        <f t="shared" ref="F18:L18" si="3">+E21</f>
        <v>1428</v>
      </c>
      <c r="G18" s="74">
        <f t="shared" si="3"/>
        <v>1420</v>
      </c>
      <c r="H18" s="74">
        <f t="shared" si="3"/>
        <v>1409</v>
      </c>
      <c r="I18" s="74">
        <f t="shared" ca="1" si="3"/>
        <v>1398.5646408722589</v>
      </c>
      <c r="J18" s="74">
        <f t="shared" ca="1" si="3"/>
        <v>1392.2576841158493</v>
      </c>
      <c r="K18" s="74">
        <f t="shared" ca="1" si="3"/>
        <v>1386.2997531215806</v>
      </c>
      <c r="L18" s="74">
        <f t="shared" ca="1" si="3"/>
        <v>1384.1959969853649</v>
      </c>
    </row>
    <row r="19" spans="1:14" ht="12.75" customHeight="1">
      <c r="A19" s="61" t="s">
        <v>128</v>
      </c>
      <c r="B19" s="61"/>
      <c r="C19" s="61"/>
      <c r="D19" s="61"/>
      <c r="E19" s="16">
        <v>-29</v>
      </c>
      <c r="F19" s="16">
        <v>-18</v>
      </c>
      <c r="G19" s="16">
        <v>-18</v>
      </c>
      <c r="H19" s="75">
        <f ca="1">-H30</f>
        <v>-15.435359127741032</v>
      </c>
      <c r="I19" s="75">
        <f t="shared" ref="I19:L19" ca="1" si="4">-I30</f>
        <v>-11.306956756409599</v>
      </c>
      <c r="J19" s="75">
        <f t="shared" ca="1" si="4"/>
        <v>-10.957930994268731</v>
      </c>
      <c r="K19" s="75">
        <f t="shared" ca="1" si="4"/>
        <v>-7.1037561362156554</v>
      </c>
      <c r="L19" s="75">
        <f t="shared" ca="1" si="4"/>
        <v>-6.9591294457087773</v>
      </c>
      <c r="N19" s="1" t="s">
        <v>186</v>
      </c>
    </row>
    <row r="20" spans="1:14" ht="12.75" customHeight="1">
      <c r="A20" s="1" t="s">
        <v>217</v>
      </c>
      <c r="B20" s="61"/>
      <c r="C20" s="61"/>
      <c r="D20" s="61"/>
      <c r="E20" s="16">
        <v>9</v>
      </c>
      <c r="F20" s="16">
        <v>10</v>
      </c>
      <c r="G20" s="16">
        <v>7</v>
      </c>
      <c r="H20" s="30">
        <v>5</v>
      </c>
      <c r="I20" s="30">
        <v>5</v>
      </c>
      <c r="J20" s="30">
        <v>5</v>
      </c>
      <c r="K20" s="30">
        <v>5</v>
      </c>
      <c r="L20" s="30">
        <v>5</v>
      </c>
    </row>
    <row r="21" spans="1:14" ht="12.75" customHeight="1">
      <c r="A21" s="92" t="s">
        <v>145</v>
      </c>
      <c r="B21" s="87"/>
      <c r="C21" s="87"/>
      <c r="D21" s="93"/>
      <c r="E21" s="93">
        <f t="shared" ref="E21:L21" si="5">SUM(E18:E20)</f>
        <v>1428</v>
      </c>
      <c r="F21" s="93">
        <f t="shared" si="5"/>
        <v>1420</v>
      </c>
      <c r="G21" s="93">
        <f t="shared" si="5"/>
        <v>1409</v>
      </c>
      <c r="H21" s="93">
        <f t="shared" ca="1" si="5"/>
        <v>1398.5646408722589</v>
      </c>
      <c r="I21" s="93">
        <f t="shared" ca="1" si="5"/>
        <v>1392.2576841158493</v>
      </c>
      <c r="J21" s="93">
        <f t="shared" ca="1" si="5"/>
        <v>1386.2997531215806</v>
      </c>
      <c r="K21" s="93">
        <f t="shared" ca="1" si="5"/>
        <v>1384.1959969853649</v>
      </c>
      <c r="L21" s="93">
        <f t="shared" ca="1" si="5"/>
        <v>1382.236867539656</v>
      </c>
    </row>
    <row r="22" spans="1:14" ht="12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</row>
    <row r="23" spans="1:14" ht="12.75" customHeight="1">
      <c r="A23" s="61" t="s">
        <v>13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</row>
    <row r="24" spans="1:14" ht="12.75" customHeight="1">
      <c r="A24" s="94" t="s">
        <v>213</v>
      </c>
      <c r="B24" s="87"/>
      <c r="C24" s="87"/>
      <c r="D24" s="87"/>
      <c r="E24" s="123">
        <v>1439</v>
      </c>
      <c r="F24" s="123">
        <v>1425</v>
      </c>
      <c r="G24" s="95">
        <v>1415</v>
      </c>
      <c r="H24" s="93">
        <f ca="1">AVERAGE(H21,H18)</f>
        <v>1403.7823204361293</v>
      </c>
      <c r="I24" s="93">
        <f ca="1">AVERAGE(I21,I18)</f>
        <v>1395.4111624940542</v>
      </c>
      <c r="J24" s="93">
        <f ca="1">AVERAGE(J21,J18)</f>
        <v>1389.2787186187149</v>
      </c>
      <c r="K24" s="93">
        <f ca="1">AVERAGE(K21,K18)</f>
        <v>1385.2478750534729</v>
      </c>
      <c r="L24" s="93">
        <f ca="1">AVERAGE(L21,L18)</f>
        <v>1383.2164322625104</v>
      </c>
      <c r="N24" s="48" t="s">
        <v>191</v>
      </c>
    </row>
    <row r="25" spans="1:14" ht="12.75" customHeight="1">
      <c r="A25" s="96" t="s">
        <v>53</v>
      </c>
      <c r="B25" s="61"/>
      <c r="C25" s="61"/>
      <c r="D25" s="61"/>
      <c r="E25" s="68">
        <f>+'Income Statement'!E25</f>
        <v>6379</v>
      </c>
      <c r="F25" s="68">
        <f>+'Income Statement'!F25</f>
        <v>4908</v>
      </c>
      <c r="G25" s="68">
        <f>+'Income Statement'!G25</f>
        <v>12559</v>
      </c>
      <c r="H25" s="68">
        <f ca="1">+'Income Statement'!H25</f>
        <v>7275.670407503233</v>
      </c>
      <c r="I25" s="68">
        <f ca="1">+'Income Statement'!I25</f>
        <v>7404.7041616376637</v>
      </c>
      <c r="J25" s="68">
        <f ca="1">+'Income Statement'!J25</f>
        <v>7606.9764593991813</v>
      </c>
      <c r="K25" s="68">
        <f ca="1">+'Income Statement'!K25</f>
        <v>7800.0868751185953</v>
      </c>
      <c r="L25" s="68">
        <f ca="1">+'Income Statement'!L25</f>
        <v>7950.5141730935684</v>
      </c>
      <c r="N25" s="1" t="s">
        <v>64</v>
      </c>
    </row>
    <row r="26" spans="1:14" ht="12.75" customHeight="1">
      <c r="A26" s="61" t="s">
        <v>51</v>
      </c>
      <c r="B26" s="61"/>
      <c r="C26" s="61"/>
      <c r="D26" s="61"/>
      <c r="E26" s="97">
        <f t="shared" ref="E26:L26" si="6">+E25/E24</f>
        <v>4.4329395413481585</v>
      </c>
      <c r="F26" s="97">
        <f t="shared" si="6"/>
        <v>3.4442105263157896</v>
      </c>
      <c r="G26" s="97">
        <f t="shared" si="6"/>
        <v>8.8756183745583037</v>
      </c>
      <c r="H26" s="97">
        <f t="shared" ca="1" si="6"/>
        <v>5.1829050000022914</v>
      </c>
      <c r="I26" s="97">
        <f t="shared" ca="1" si="6"/>
        <v>5.3064676280810641</v>
      </c>
      <c r="J26" s="97">
        <f t="shared" ca="1" si="6"/>
        <v>5.4754862055055362</v>
      </c>
      <c r="K26" s="97">
        <f t="shared" ca="1" si="6"/>
        <v>5.6308239237093209</v>
      </c>
      <c r="L26" s="97">
        <f t="shared" ca="1" si="6"/>
        <v>5.7478453752092928</v>
      </c>
      <c r="N26" s="61" t="s">
        <v>120</v>
      </c>
    </row>
    <row r="27" spans="1:14" ht="12.75" customHeight="1">
      <c r="A27" s="61"/>
      <c r="B27" s="61"/>
      <c r="C27" s="61"/>
      <c r="D27" s="61"/>
      <c r="E27" s="97"/>
      <c r="F27" s="97"/>
      <c r="G27" s="97"/>
      <c r="H27" s="97"/>
      <c r="I27" s="97"/>
      <c r="J27" s="97"/>
      <c r="K27" s="97"/>
      <c r="L27" s="97"/>
    </row>
    <row r="28" spans="1:14" ht="12.75" customHeight="1">
      <c r="A28" s="90" t="s">
        <v>94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</row>
    <row r="29" spans="1:14" ht="3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</row>
    <row r="30" spans="1:14" ht="12.75" customHeight="1">
      <c r="A30" s="61" t="s">
        <v>128</v>
      </c>
      <c r="B30" s="61"/>
      <c r="C30" s="61"/>
      <c r="D30" s="61"/>
      <c r="E30" s="75">
        <f>-E19</f>
        <v>29</v>
      </c>
      <c r="F30" s="75">
        <f>-F19</f>
        <v>18</v>
      </c>
      <c r="G30" s="75">
        <f>-G19</f>
        <v>18</v>
      </c>
      <c r="H30" s="75">
        <f ca="1">+H32/H31</f>
        <v>15.435359127741032</v>
      </c>
      <c r="I30" s="75">
        <f t="shared" ref="I30:L30" ca="1" si="7">+I32/I31</f>
        <v>11.306956756409599</v>
      </c>
      <c r="J30" s="75">
        <f t="shared" ca="1" si="7"/>
        <v>10.957930994268731</v>
      </c>
      <c r="K30" s="75">
        <f t="shared" ca="1" si="7"/>
        <v>7.1037561362156554</v>
      </c>
      <c r="L30" s="75">
        <f t="shared" ca="1" si="7"/>
        <v>6.9591294457087773</v>
      </c>
      <c r="N30" s="1" t="s">
        <v>215</v>
      </c>
    </row>
    <row r="31" spans="1:14" ht="12.75" customHeight="1">
      <c r="A31" s="61" t="s">
        <v>49</v>
      </c>
      <c r="B31" s="61"/>
      <c r="C31" s="61"/>
      <c r="D31" s="61"/>
      <c r="E31" s="124">
        <f>+E32/E30</f>
        <v>103.44827586206897</v>
      </c>
      <c r="F31" s="124">
        <f>+F32/F30</f>
        <v>111.11111111111111</v>
      </c>
      <c r="G31" s="124">
        <f>+G32/G30</f>
        <v>111.11111111111111</v>
      </c>
      <c r="H31" s="97">
        <f ca="1">+H26*H35</f>
        <v>129.57262500005729</v>
      </c>
      <c r="I31" s="97">
        <f t="shared" ref="I31:L31" ca="1" si="8">+I26*I35</f>
        <v>132.66169070202659</v>
      </c>
      <c r="J31" s="97">
        <f t="shared" ca="1" si="8"/>
        <v>136.88715513763842</v>
      </c>
      <c r="K31" s="97">
        <f t="shared" ca="1" si="8"/>
        <v>140.77059809273302</v>
      </c>
      <c r="L31" s="97">
        <f t="shared" ca="1" si="8"/>
        <v>143.69613438023231</v>
      </c>
      <c r="N31" s="1" t="s">
        <v>214</v>
      </c>
    </row>
    <row r="32" spans="1:14" ht="12.75" customHeight="1">
      <c r="A32" s="92" t="s">
        <v>138</v>
      </c>
      <c r="B32" s="87"/>
      <c r="C32" s="87"/>
      <c r="D32" s="87"/>
      <c r="E32" s="50">
        <v>3000</v>
      </c>
      <c r="F32" s="50">
        <v>2000</v>
      </c>
      <c r="G32" s="50">
        <v>2000</v>
      </c>
      <c r="H32" s="98">
        <v>2000</v>
      </c>
      <c r="I32" s="98">
        <v>1500</v>
      </c>
      <c r="J32" s="98">
        <v>1500</v>
      </c>
      <c r="K32" s="98">
        <v>1000</v>
      </c>
      <c r="L32" s="98">
        <v>1000</v>
      </c>
    </row>
    <row r="33" spans="1:14" ht="12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32"/>
      <c r="N33" s="32"/>
    </row>
    <row r="34" spans="1:14" ht="12.75" customHeight="1">
      <c r="A34" s="61" t="s">
        <v>13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</row>
    <row r="35" spans="1:14" ht="12.75" customHeight="1">
      <c r="A35" s="99" t="s">
        <v>134</v>
      </c>
      <c r="B35" s="100"/>
      <c r="C35" s="100"/>
      <c r="D35" s="100"/>
      <c r="E35" s="101">
        <f>+E31/E26</f>
        <v>23.336270413155233</v>
      </c>
      <c r="F35" s="101">
        <f>+F31/F26</f>
        <v>32.260255365389838</v>
      </c>
      <c r="G35" s="101">
        <f>+G31/G26</f>
        <v>12.518689563040228</v>
      </c>
      <c r="H35" s="102">
        <v>25</v>
      </c>
      <c r="I35" s="102">
        <v>25</v>
      </c>
      <c r="J35" s="102">
        <v>25</v>
      </c>
      <c r="K35" s="102">
        <v>25</v>
      </c>
      <c r="L35" s="102">
        <v>25</v>
      </c>
      <c r="N35" s="1" t="s">
        <v>137</v>
      </c>
    </row>
    <row r="36" spans="1:14" ht="12.75" customHeight="1">
      <c r="A36" s="7"/>
      <c r="B36" s="7"/>
      <c r="C36" s="7"/>
      <c r="D36" s="7"/>
      <c r="E36" s="7"/>
      <c r="F36" s="103"/>
      <c r="G36" s="103"/>
      <c r="H36" s="89"/>
      <c r="I36" s="89"/>
      <c r="J36" s="89"/>
      <c r="K36" s="89"/>
      <c r="L36" s="89"/>
    </row>
    <row r="37" spans="1:14" ht="12.75" customHeight="1">
      <c r="A37" s="90" t="s">
        <v>95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1:14" ht="3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4" ht="12.75" customHeight="1">
      <c r="A39" s="61" t="s">
        <v>213</v>
      </c>
      <c r="B39" s="61"/>
      <c r="C39" s="61"/>
      <c r="D39" s="61"/>
      <c r="E39" s="75">
        <f t="shared" ref="E39:L39" si="9">+E24</f>
        <v>1439</v>
      </c>
      <c r="F39" s="75">
        <f t="shared" si="9"/>
        <v>1425</v>
      </c>
      <c r="G39" s="75">
        <f t="shared" si="9"/>
        <v>1415</v>
      </c>
      <c r="H39" s="75">
        <f t="shared" ca="1" si="9"/>
        <v>1403.7823204361293</v>
      </c>
      <c r="I39" s="75">
        <f t="shared" ca="1" si="9"/>
        <v>1395.4111624940542</v>
      </c>
      <c r="J39" s="75">
        <f t="shared" ca="1" si="9"/>
        <v>1389.2787186187149</v>
      </c>
      <c r="K39" s="75">
        <f t="shared" ca="1" si="9"/>
        <v>1385.2478750534729</v>
      </c>
      <c r="L39" s="75">
        <f t="shared" ca="1" si="9"/>
        <v>1383.2164322625104</v>
      </c>
      <c r="N39" s="1" t="s">
        <v>88</v>
      </c>
    </row>
    <row r="40" spans="1:14" ht="12.75" customHeight="1">
      <c r="A40" s="61" t="s">
        <v>72</v>
      </c>
      <c r="B40" s="61"/>
      <c r="C40" s="61"/>
      <c r="D40" s="61"/>
      <c r="E40" s="124">
        <f>+E41/E39</f>
        <v>2.9374565670604587</v>
      </c>
      <c r="F40" s="124">
        <f>+F41/F39</f>
        <v>1</v>
      </c>
      <c r="G40" s="124">
        <f>+G41/G39</f>
        <v>3.4840989399293285</v>
      </c>
      <c r="H40" s="62">
        <v>3.6</v>
      </c>
      <c r="I40" s="62">
        <v>3.75</v>
      </c>
      <c r="J40" s="62">
        <v>3.9</v>
      </c>
      <c r="K40" s="62">
        <v>4</v>
      </c>
      <c r="L40" s="62">
        <v>4.0999999999999996</v>
      </c>
      <c r="N40" s="1" t="s">
        <v>212</v>
      </c>
    </row>
    <row r="41" spans="1:14" ht="12.75" customHeight="1">
      <c r="A41" s="92" t="s">
        <v>141</v>
      </c>
      <c r="B41" s="87"/>
      <c r="C41" s="87"/>
      <c r="D41" s="87"/>
      <c r="E41" s="50">
        <v>4227</v>
      </c>
      <c r="F41" s="50">
        <v>1425</v>
      </c>
      <c r="G41" s="50">
        <v>4930</v>
      </c>
      <c r="H41" s="104">
        <f ca="1">+H39*H40</f>
        <v>5053.6163535700662</v>
      </c>
      <c r="I41" s="104">
        <f ca="1">+I39*I40</f>
        <v>5232.7918593527029</v>
      </c>
      <c r="J41" s="104">
        <f ca="1">+J39*J40</f>
        <v>5418.1870026129882</v>
      </c>
      <c r="K41" s="104">
        <f ca="1">+K39*K40</f>
        <v>5540.9915002138914</v>
      </c>
      <c r="L41" s="104">
        <f ca="1">+L39*L40</f>
        <v>5671.1873722762921</v>
      </c>
      <c r="N41" s="1" t="s">
        <v>216</v>
      </c>
    </row>
    <row r="42" spans="1:14" ht="12.75" customHeight="1">
      <c r="J42" s="17"/>
    </row>
    <row r="43" spans="1:14" ht="12.75" customHeight="1">
      <c r="A43" s="1" t="s">
        <v>13</v>
      </c>
    </row>
    <row r="44" spans="1:14" ht="12.75" customHeight="1">
      <c r="A44" s="13" t="s">
        <v>52</v>
      </c>
      <c r="B44" s="13"/>
      <c r="C44" s="13"/>
      <c r="D44" s="13"/>
      <c r="E44" s="19">
        <f t="shared" ref="E44:L44" si="10">+E40/E31</f>
        <v>2.8395413481584433E-2</v>
      </c>
      <c r="F44" s="19">
        <f t="shared" si="10"/>
        <v>8.9999999999999993E-3</v>
      </c>
      <c r="G44" s="19">
        <f t="shared" si="10"/>
        <v>3.1356890459363955E-2</v>
      </c>
      <c r="H44" s="19">
        <f t="shared" ca="1" si="10"/>
        <v>2.7783646429933858E-2</v>
      </c>
      <c r="I44" s="19">
        <f t="shared" ca="1" si="10"/>
        <v>2.8267391891023997E-2</v>
      </c>
      <c r="J44" s="19">
        <f t="shared" ca="1" si="10"/>
        <v>2.8490620585098696E-2</v>
      </c>
      <c r="K44" s="19">
        <f t="shared" ca="1" si="10"/>
        <v>2.8415024544862621E-2</v>
      </c>
      <c r="L44" s="19">
        <f t="shared" ca="1" si="10"/>
        <v>2.8532430727405984E-2</v>
      </c>
      <c r="N44" s="1" t="s">
        <v>63</v>
      </c>
    </row>
    <row r="45" spans="1:14" ht="12.75" customHeight="1"/>
    <row r="46" spans="1:14" ht="12.75" customHeight="1"/>
    <row r="47" spans="1:14" ht="12.75" customHeight="1">
      <c r="J47" s="17"/>
    </row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66"/>
  <sheetViews>
    <sheetView showGridLines="0" zoomScale="85" zoomScaleNormal="85" zoomScaleSheetLayoutView="88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3" spans="1:20" ht="12.75" customHeight="1"/>
    <row r="4" spans="1:20" ht="12.75" customHeight="1"/>
    <row r="5" spans="1:20" ht="12.75" customHeight="1"/>
    <row r="6" spans="1:20" ht="12.75" customHeight="1">
      <c r="E6" s="115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131</v>
      </c>
      <c r="E8" s="7"/>
      <c r="F8" s="7"/>
      <c r="G8" s="7"/>
      <c r="M8" s="46"/>
      <c r="N8" s="46"/>
    </row>
    <row r="9" spans="1:20" ht="3" customHeight="1">
      <c r="E9" s="7"/>
      <c r="F9" s="7"/>
      <c r="G9" s="7"/>
    </row>
    <row r="10" spans="1:20" ht="12.75" customHeight="1">
      <c r="A10" s="66" t="s">
        <v>146</v>
      </c>
      <c r="B10" s="49"/>
      <c r="C10" s="49"/>
      <c r="D10" s="49"/>
      <c r="E10" s="65"/>
      <c r="F10" s="65"/>
      <c r="G10" s="65"/>
      <c r="H10" s="34">
        <f t="shared" ref="H10:L10" si="0">+G35</f>
        <v>0</v>
      </c>
      <c r="I10" s="34">
        <f t="shared" ca="1" si="0"/>
        <v>0</v>
      </c>
      <c r="J10" s="34">
        <f t="shared" ca="1" si="0"/>
        <v>0</v>
      </c>
      <c r="K10" s="34">
        <f t="shared" ca="1" si="0"/>
        <v>808.24914616666138</v>
      </c>
      <c r="L10" s="34">
        <f t="shared" ca="1" si="0"/>
        <v>588.62863048303552</v>
      </c>
      <c r="N10" s="1" t="s">
        <v>139</v>
      </c>
      <c r="T10" s="14"/>
    </row>
    <row r="11" spans="1:20" ht="12.75" customHeight="1">
      <c r="A11" s="66" t="s">
        <v>147</v>
      </c>
      <c r="B11" s="49"/>
      <c r="C11" s="49"/>
      <c r="D11" s="49"/>
      <c r="E11" s="49"/>
      <c r="F11" s="49"/>
      <c r="G11" s="49"/>
      <c r="H11" s="35">
        <f t="shared" ref="H11:L11" si="1">+G36</f>
        <v>32321</v>
      </c>
      <c r="I11" s="35">
        <f t="shared" si="1"/>
        <v>31321</v>
      </c>
      <c r="J11" s="35">
        <f t="shared" si="1"/>
        <v>30321</v>
      </c>
      <c r="K11" s="35">
        <f t="shared" si="1"/>
        <v>22321</v>
      </c>
      <c r="L11" s="35">
        <f t="shared" si="1"/>
        <v>21321</v>
      </c>
      <c r="N11" s="1" t="s">
        <v>139</v>
      </c>
    </row>
    <row r="12" spans="1:20" ht="12.75" customHeight="1">
      <c r="A12" s="18" t="s">
        <v>187</v>
      </c>
      <c r="B12" s="13"/>
      <c r="C12" s="13"/>
      <c r="D12" s="13"/>
      <c r="E12" s="13"/>
      <c r="F12" s="13"/>
      <c r="G12" s="13"/>
      <c r="H12" s="15">
        <f>SUM(H10:H11)</f>
        <v>32321</v>
      </c>
      <c r="I12" s="15">
        <f ca="1">SUM(I10:I11)</f>
        <v>31321</v>
      </c>
      <c r="J12" s="15">
        <f ca="1">SUM(J10:J11)</f>
        <v>30321</v>
      </c>
      <c r="K12" s="15">
        <f ca="1">SUM(K10:K11)</f>
        <v>23129.249146166661</v>
      </c>
      <c r="L12" s="15">
        <f ca="1">SUM(L10:L11)</f>
        <v>21909.628630483036</v>
      </c>
    </row>
    <row r="13" spans="1:20" ht="12.75" customHeight="1">
      <c r="A13" s="31"/>
      <c r="B13" s="32"/>
      <c r="C13" s="32"/>
      <c r="D13" s="32"/>
      <c r="E13" s="32"/>
      <c r="F13" s="32"/>
      <c r="G13" s="32"/>
      <c r="H13" s="50"/>
      <c r="I13" s="33"/>
      <c r="J13" s="33"/>
      <c r="K13" s="33"/>
      <c r="L13" s="33"/>
    </row>
    <row r="14" spans="1:20" ht="12.75" customHeight="1">
      <c r="A14" s="21" t="s">
        <v>132</v>
      </c>
      <c r="E14" s="7"/>
      <c r="F14" s="7"/>
      <c r="G14" s="7"/>
      <c r="M14" s="46"/>
      <c r="N14" s="46"/>
    </row>
    <row r="15" spans="1:20" ht="3" customHeight="1">
      <c r="E15" s="7"/>
      <c r="F15" s="7"/>
      <c r="G15" s="7"/>
    </row>
    <row r="16" spans="1:20" ht="12.75" customHeight="1">
      <c r="A16" s="1" t="s">
        <v>39</v>
      </c>
      <c r="H16" s="25">
        <f>+'Balance Sheet'!G10</f>
        <v>10990</v>
      </c>
      <c r="I16" s="25">
        <f ca="1">+'Balance Sheet'!H10</f>
        <v>8776.9624777687859</v>
      </c>
      <c r="J16" s="25">
        <f ca="1">+'Balance Sheet'!I10</f>
        <v>8165.4449346334277</v>
      </c>
      <c r="K16" s="25">
        <f ca="1">+'Balance Sheet'!J10</f>
        <v>1500</v>
      </c>
      <c r="L16" s="25">
        <f ca="1">+'Balance Sheet'!K10</f>
        <v>1500</v>
      </c>
      <c r="N16" s="1" t="s">
        <v>66</v>
      </c>
    </row>
    <row r="17" spans="1:20" ht="12.75" customHeight="1">
      <c r="A17" s="1" t="s">
        <v>24</v>
      </c>
      <c r="H17" s="26">
        <f ca="1">+'Cash Flow Statement'!H13</f>
        <v>8844.7288913388511</v>
      </c>
      <c r="I17" s="26">
        <f ca="1">+'Cash Flow Statement'!I13</f>
        <v>10104.199402967344</v>
      </c>
      <c r="J17" s="26">
        <f ca="1">+'Cash Flow Statement'!J13</f>
        <v>10419.463541664898</v>
      </c>
      <c r="K17" s="26">
        <f ca="1">+'Cash Flow Statement'!K13</f>
        <v>10711.580031884801</v>
      </c>
      <c r="L17" s="26">
        <f ca="1">+'Cash Flow Statement'!L13</f>
        <v>10927.842540520258</v>
      </c>
      <c r="N17" s="1" t="s">
        <v>65</v>
      </c>
      <c r="T17" s="14"/>
    </row>
    <row r="18" spans="1:20" ht="12.75" customHeight="1">
      <c r="A18" s="1" t="s">
        <v>26</v>
      </c>
      <c r="H18" s="26">
        <f>+'Cash Flow Statement'!H16</f>
        <v>-3004.1500599999999</v>
      </c>
      <c r="I18" s="26">
        <f>+'Cash Flow Statement'!I16</f>
        <v>-2982.9250867499995</v>
      </c>
      <c r="J18" s="26">
        <f>+'Cash Flow Statement'!J16</f>
        <v>-2974.9706198519998</v>
      </c>
      <c r="K18" s="26">
        <f>+'Cash Flow Statement'!K16</f>
        <v>-2950.9680159872846</v>
      </c>
      <c r="L18" s="26">
        <f>+'Cash Flow Statement'!L16</f>
        <v>-2911.1642613530375</v>
      </c>
      <c r="N18" s="1" t="s">
        <v>65</v>
      </c>
    </row>
    <row r="19" spans="1:20" ht="12.75" customHeight="1">
      <c r="A19" s="1" t="s">
        <v>92</v>
      </c>
      <c r="H19" s="26">
        <f ca="1">-Equity!H41</f>
        <v>-5053.6163535700662</v>
      </c>
      <c r="I19" s="26">
        <f ca="1">-Equity!I41</f>
        <v>-5232.7918593527029</v>
      </c>
      <c r="J19" s="26">
        <f ca="1">-Equity!J41</f>
        <v>-5418.1870026129882</v>
      </c>
      <c r="K19" s="26">
        <f ca="1">-Equity!K41</f>
        <v>-5540.9915002138914</v>
      </c>
      <c r="L19" s="26">
        <f ca="1">-Equity!L41</f>
        <v>-5671.1873722762921</v>
      </c>
      <c r="N19" s="1" t="s">
        <v>65</v>
      </c>
    </row>
    <row r="20" spans="1:20" ht="12.75" customHeight="1">
      <c r="A20" s="1" t="s">
        <v>93</v>
      </c>
      <c r="H20" s="26">
        <f>-Equity!H32</f>
        <v>-2000</v>
      </c>
      <c r="I20" s="26">
        <f>-Equity!I32</f>
        <v>-1500</v>
      </c>
      <c r="J20" s="26">
        <f>-Equity!J32</f>
        <v>-1500</v>
      </c>
      <c r="K20" s="26">
        <f>-Equity!K32</f>
        <v>-1000</v>
      </c>
      <c r="L20" s="26">
        <f>-Equity!L32</f>
        <v>-1000</v>
      </c>
      <c r="N20" s="1" t="s">
        <v>65</v>
      </c>
    </row>
    <row r="21" spans="1:20" ht="12.75" customHeight="1">
      <c r="A21" s="1" t="s">
        <v>172</v>
      </c>
      <c r="H21" s="16">
        <v>-1000</v>
      </c>
      <c r="I21" s="16">
        <v>-1000</v>
      </c>
      <c r="J21" s="16">
        <v>-8000</v>
      </c>
      <c r="K21" s="16">
        <v>-1000</v>
      </c>
      <c r="L21" s="16">
        <v>-1000</v>
      </c>
    </row>
    <row r="22" spans="1:20" ht="12.75" customHeight="1">
      <c r="A22" s="1" t="s">
        <v>40</v>
      </c>
      <c r="H22" s="16">
        <v>-1500</v>
      </c>
      <c r="I22" s="16">
        <v>-1500</v>
      </c>
      <c r="J22" s="16">
        <v>-1500</v>
      </c>
      <c r="K22" s="16">
        <v>-1500</v>
      </c>
      <c r="L22" s="16">
        <v>-1500</v>
      </c>
    </row>
    <row r="23" spans="1:20" ht="12.75" customHeight="1">
      <c r="A23" s="18" t="s">
        <v>41</v>
      </c>
      <c r="B23" s="13"/>
      <c r="C23" s="13"/>
      <c r="D23" s="13"/>
      <c r="E23" s="13"/>
      <c r="F23" s="13"/>
      <c r="G23" s="13"/>
      <c r="H23" s="15">
        <f ca="1">SUM(H16:H22)</f>
        <v>7276.9624777687859</v>
      </c>
      <c r="I23" s="15">
        <f ca="1">SUM(I16:I22)</f>
        <v>6665.4449346334277</v>
      </c>
      <c r="J23" s="15">
        <f ca="1">SUM(J16:J22)</f>
        <v>-808.24914616666138</v>
      </c>
      <c r="K23" s="15">
        <f ca="1">SUM(K16:K22)</f>
        <v>219.62051568362585</v>
      </c>
      <c r="L23" s="15">
        <f ca="1">SUM(L16:L22)</f>
        <v>345.49090689092736</v>
      </c>
    </row>
    <row r="24" spans="1:20" ht="12.75" customHeight="1"/>
    <row r="25" spans="1:20" ht="12.75" customHeight="1">
      <c r="A25" s="1" t="s">
        <v>135</v>
      </c>
      <c r="H25" s="14">
        <f ca="1">IF(H23&lt;0,-H23,0)</f>
        <v>0</v>
      </c>
      <c r="I25" s="14">
        <f ca="1">IF(I23&lt;0,-I23,0)</f>
        <v>0</v>
      </c>
      <c r="J25" s="14">
        <f ca="1">IF(J23&lt;0,-J23,0)</f>
        <v>808.24914616666138</v>
      </c>
      <c r="K25" s="14">
        <f ca="1">IF(K23&lt;0,-K23,0)</f>
        <v>0</v>
      </c>
      <c r="L25" s="14">
        <f ca="1">IF(L23&lt;0,-L23,0)</f>
        <v>0</v>
      </c>
      <c r="N25" s="48" t="s">
        <v>152</v>
      </c>
    </row>
    <row r="26" spans="1:20" ht="12.75" customHeight="1">
      <c r="A26" s="1" t="s">
        <v>177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N26" s="48"/>
    </row>
    <row r="27" spans="1:20" ht="12.75" customHeight="1">
      <c r="A27" s="18" t="s">
        <v>42</v>
      </c>
      <c r="B27" s="13"/>
      <c r="C27" s="13"/>
      <c r="D27" s="13"/>
      <c r="E27" s="13"/>
      <c r="F27" s="13"/>
      <c r="G27" s="13"/>
      <c r="H27" s="15">
        <f ca="1">SUM(H25:H26,H23)</f>
        <v>7276.9624777687859</v>
      </c>
      <c r="I27" s="15">
        <f t="shared" ref="I27:L27" ca="1" si="2">SUM(I25:I26,I23)</f>
        <v>6665.4449346334277</v>
      </c>
      <c r="J27" s="15">
        <f t="shared" ca="1" si="2"/>
        <v>0</v>
      </c>
      <c r="K27" s="15">
        <f t="shared" ca="1" si="2"/>
        <v>219.62051568362585</v>
      </c>
      <c r="L27" s="15">
        <f t="shared" ca="1" si="2"/>
        <v>345.49090689092736</v>
      </c>
    </row>
    <row r="28" spans="1:20" ht="12.75" customHeight="1"/>
    <row r="29" spans="1:20" ht="12.75" customHeight="1">
      <c r="A29" s="66" t="s">
        <v>148</v>
      </c>
      <c r="H29" s="72">
        <f ca="1">-IF(H27&gt;0,MIN(H10,H27),0)</f>
        <v>0</v>
      </c>
      <c r="I29" s="34">
        <f t="shared" ref="I29:L29" ca="1" si="3">-IF(I27&gt;0,MIN(I10,I27),0)</f>
        <v>0</v>
      </c>
      <c r="J29" s="34">
        <f t="shared" ca="1" si="3"/>
        <v>0</v>
      </c>
      <c r="K29" s="34">
        <f t="shared" ca="1" si="3"/>
        <v>-219.62051568362585</v>
      </c>
      <c r="L29" s="34">
        <f t="shared" ca="1" si="3"/>
        <v>-345.49090689092736</v>
      </c>
      <c r="N29" s="67" t="s">
        <v>178</v>
      </c>
    </row>
    <row r="30" spans="1:20" ht="12.75" customHeight="1">
      <c r="A30" s="66" t="s">
        <v>149</v>
      </c>
      <c r="C30" s="20"/>
      <c r="H30" s="35">
        <f>+H21</f>
        <v>-1000</v>
      </c>
      <c r="I30" s="35">
        <f t="shared" ref="I30:L30" si="4">+I21</f>
        <v>-1000</v>
      </c>
      <c r="J30" s="35">
        <f t="shared" si="4"/>
        <v>-8000</v>
      </c>
      <c r="K30" s="35">
        <f t="shared" si="4"/>
        <v>-1000</v>
      </c>
      <c r="L30" s="35">
        <f t="shared" si="4"/>
        <v>-1000</v>
      </c>
      <c r="N30" s="1" t="s">
        <v>160</v>
      </c>
    </row>
    <row r="31" spans="1:20" ht="12.75" customHeight="1">
      <c r="A31" s="18" t="s">
        <v>43</v>
      </c>
      <c r="B31" s="13"/>
      <c r="C31" s="13"/>
      <c r="D31" s="13"/>
      <c r="E31" s="13"/>
      <c r="F31" s="13"/>
      <c r="G31" s="13"/>
      <c r="H31" s="64">
        <f ca="1">SUM(H29:H30)</f>
        <v>-1000</v>
      </c>
      <c r="I31" s="15">
        <f ca="1">SUM(I29:I30)</f>
        <v>-1000</v>
      </c>
      <c r="J31" s="15">
        <f ca="1">SUM(J29:J30)</f>
        <v>-8000</v>
      </c>
      <c r="K31" s="15">
        <f ca="1">SUM(K29:K30)</f>
        <v>-1219.6205156836259</v>
      </c>
      <c r="L31" s="15">
        <f ca="1">SUM(L29:L30)</f>
        <v>-1345.4909068909274</v>
      </c>
    </row>
    <row r="32" spans="1:20" ht="12.75" customHeight="1">
      <c r="A32" s="31"/>
      <c r="B32" s="32"/>
      <c r="C32" s="32"/>
      <c r="D32" s="32"/>
      <c r="E32" s="32"/>
      <c r="F32" s="32"/>
      <c r="G32" s="32"/>
      <c r="H32" s="50"/>
      <c r="I32" s="33"/>
      <c r="J32" s="33"/>
      <c r="K32" s="33"/>
      <c r="L32" s="33"/>
    </row>
    <row r="33" spans="1:14" ht="12.75" customHeight="1">
      <c r="A33" s="21" t="s">
        <v>133</v>
      </c>
      <c r="E33" s="7"/>
      <c r="F33" s="7"/>
      <c r="G33" s="7"/>
      <c r="M33" s="46"/>
      <c r="N33" s="46"/>
    </row>
    <row r="34" spans="1:14" ht="3" customHeight="1">
      <c r="E34" s="7"/>
      <c r="F34" s="7"/>
      <c r="G34" s="7"/>
    </row>
    <row r="35" spans="1:14" ht="12.75" customHeight="1">
      <c r="A35" s="91" t="s">
        <v>150</v>
      </c>
      <c r="B35" s="61"/>
      <c r="C35" s="61"/>
      <c r="D35" s="61"/>
      <c r="E35" s="61"/>
      <c r="F35" s="61"/>
      <c r="G35" s="63">
        <v>0</v>
      </c>
      <c r="H35" s="78">
        <f ca="1">SUM(H10,H29,H25)</f>
        <v>0</v>
      </c>
      <c r="I35" s="78">
        <f ca="1">SUM(I10,I29,I25)</f>
        <v>0</v>
      </c>
      <c r="J35" s="78">
        <f ca="1">SUM(J10,J29,J25)</f>
        <v>808.24914616666138</v>
      </c>
      <c r="K35" s="78">
        <f ca="1">SUM(K10,K29,K25)</f>
        <v>588.62863048303552</v>
      </c>
      <c r="L35" s="78">
        <f ca="1">SUM(L10,L29,L25)</f>
        <v>243.13772359210816</v>
      </c>
      <c r="N35" s="1" t="s">
        <v>175</v>
      </c>
    </row>
    <row r="36" spans="1:14" ht="12.75" customHeight="1">
      <c r="A36" s="91" t="s">
        <v>151</v>
      </c>
      <c r="B36" s="61"/>
      <c r="C36" s="61"/>
      <c r="D36" s="61"/>
      <c r="E36" s="61"/>
      <c r="F36" s="61"/>
      <c r="G36" s="73">
        <v>32321</v>
      </c>
      <c r="H36" s="74">
        <f t="shared" ref="H36:L36" si="5">SUM(H11,H30,H26)</f>
        <v>31321</v>
      </c>
      <c r="I36" s="74">
        <f t="shared" si="5"/>
        <v>30321</v>
      </c>
      <c r="J36" s="74">
        <f t="shared" si="5"/>
        <v>22321</v>
      </c>
      <c r="K36" s="74">
        <f t="shared" si="5"/>
        <v>21321</v>
      </c>
      <c r="L36" s="74">
        <f t="shared" si="5"/>
        <v>20321</v>
      </c>
      <c r="N36" s="1" t="s">
        <v>176</v>
      </c>
    </row>
    <row r="37" spans="1:14" ht="12.75" customHeight="1">
      <c r="A37" s="92" t="s">
        <v>188</v>
      </c>
      <c r="B37" s="87"/>
      <c r="C37" s="87"/>
      <c r="D37" s="87"/>
      <c r="E37" s="87"/>
      <c r="F37" s="87"/>
      <c r="G37" s="105">
        <f t="shared" ref="G37:L37" si="6">SUM(G35:G36)</f>
        <v>32321</v>
      </c>
      <c r="H37" s="82">
        <f t="shared" ca="1" si="6"/>
        <v>31321</v>
      </c>
      <c r="I37" s="82">
        <f t="shared" ca="1" si="6"/>
        <v>30321</v>
      </c>
      <c r="J37" s="82">
        <f t="shared" ca="1" si="6"/>
        <v>23129.249146166661</v>
      </c>
      <c r="K37" s="82">
        <f t="shared" ca="1" si="6"/>
        <v>21909.628630483036</v>
      </c>
      <c r="L37" s="82">
        <f t="shared" ca="1" si="6"/>
        <v>20564.13772359211</v>
      </c>
    </row>
    <row r="38" spans="1:14" ht="12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4" ht="12.75" customHeight="1">
      <c r="A39" s="61" t="s">
        <v>13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4" ht="12.75" customHeight="1">
      <c r="A40" s="106" t="s">
        <v>136</v>
      </c>
      <c r="B40" s="106"/>
      <c r="C40" s="106"/>
      <c r="D40" s="106"/>
      <c r="E40" s="106"/>
      <c r="F40" s="106"/>
      <c r="G40" s="106"/>
      <c r="H40" s="105">
        <f ca="1">SUM(H25,H29)</f>
        <v>0</v>
      </c>
      <c r="I40" s="105">
        <f t="shared" ref="I40:L41" ca="1" si="7">SUM(I25,I29)</f>
        <v>0</v>
      </c>
      <c r="J40" s="105">
        <f t="shared" ca="1" si="7"/>
        <v>808.24914616666138</v>
      </c>
      <c r="K40" s="105">
        <f t="shared" ca="1" si="7"/>
        <v>-219.62051568362585</v>
      </c>
      <c r="L40" s="105">
        <f t="shared" ca="1" si="7"/>
        <v>-345.49090689092736</v>
      </c>
      <c r="N40" s="1" t="s">
        <v>171</v>
      </c>
    </row>
    <row r="41" spans="1:14" ht="12.75" customHeight="1">
      <c r="A41" s="7" t="s">
        <v>173</v>
      </c>
      <c r="B41" s="7"/>
      <c r="C41" s="7"/>
      <c r="D41" s="7"/>
      <c r="E41" s="7"/>
      <c r="F41" s="7"/>
      <c r="G41" s="7"/>
      <c r="H41" s="107">
        <f>SUM(H26,H30)</f>
        <v>-1000</v>
      </c>
      <c r="I41" s="107">
        <f t="shared" si="7"/>
        <v>-1000</v>
      </c>
      <c r="J41" s="107">
        <f t="shared" si="7"/>
        <v>-8000</v>
      </c>
      <c r="K41" s="107">
        <f t="shared" si="7"/>
        <v>-1000</v>
      </c>
      <c r="L41" s="107">
        <f t="shared" si="7"/>
        <v>-1000</v>
      </c>
      <c r="N41" s="1" t="s">
        <v>174</v>
      </c>
    </row>
    <row r="42" spans="1:14" s="32" customFormat="1" ht="12.75" customHeight="1">
      <c r="A42" s="7" t="s">
        <v>73</v>
      </c>
      <c r="B42" s="7"/>
      <c r="C42" s="7"/>
      <c r="D42" s="7"/>
      <c r="E42" s="7"/>
      <c r="F42" s="7"/>
      <c r="G42" s="7"/>
      <c r="H42" s="108">
        <f>+'Cash Flow Statement'!H32</f>
        <v>12930.906779999999</v>
      </c>
      <c r="I42" s="108">
        <f>+'Cash Flow Statement'!I32</f>
        <v>13191.15760585</v>
      </c>
      <c r="J42" s="108">
        <f>+'Cash Flow Statement'!J32</f>
        <v>13522.5937266</v>
      </c>
      <c r="K42" s="108">
        <f>+'Cash Flow Statement'!K32</f>
        <v>13794.059795661495</v>
      </c>
      <c r="L42" s="108">
        <f>+'Cash Flow Statement'!L32</f>
        <v>14001.313828412231</v>
      </c>
      <c r="N42" s="32" t="s">
        <v>78</v>
      </c>
    </row>
    <row r="43" spans="1:14" ht="12.75" customHeight="1">
      <c r="A43" s="7" t="s">
        <v>79</v>
      </c>
      <c r="B43" s="7"/>
      <c r="C43" s="7"/>
      <c r="D43" s="7"/>
      <c r="E43" s="7"/>
      <c r="F43" s="7"/>
      <c r="G43" s="7"/>
      <c r="H43" s="108">
        <f ca="1">+'Balance Sheet'!H27</f>
        <v>14824.054053933167</v>
      </c>
      <c r="I43" s="108">
        <f ca="1">+'Balance Sheet'!I27</f>
        <v>15495.966356218127</v>
      </c>
      <c r="J43" s="108">
        <f ca="1">+'Balance Sheet'!J27</f>
        <v>16184.755813004322</v>
      </c>
      <c r="K43" s="108">
        <f ca="1">+'Balance Sheet'!K27</f>
        <v>17443.851187909026</v>
      </c>
      <c r="L43" s="108">
        <f ca="1">+'Balance Sheet'!L27</f>
        <v>18723.177988726304</v>
      </c>
      <c r="N43" s="1" t="s">
        <v>80</v>
      </c>
    </row>
    <row r="44" spans="1:14" ht="12.75" customHeight="1">
      <c r="A44" s="7" t="s">
        <v>74</v>
      </c>
      <c r="B44" s="7"/>
      <c r="C44" s="7"/>
      <c r="D44" s="7"/>
      <c r="E44" s="7"/>
      <c r="F44" s="7"/>
      <c r="G44" s="7"/>
      <c r="H44" s="109">
        <f ca="1">+H37/H42</f>
        <v>2.4221812540203</v>
      </c>
      <c r="I44" s="109">
        <f ca="1">+I37/I42</f>
        <v>2.2985852270124707</v>
      </c>
      <c r="J44" s="109">
        <f ca="1">+J37/J42</f>
        <v>1.7104151476997802</v>
      </c>
      <c r="K44" s="109">
        <f ca="1">+K37/K42</f>
        <v>1.5883379480038247</v>
      </c>
      <c r="L44" s="109">
        <f ca="1">+L37/L42</f>
        <v>1.4687291475363005</v>
      </c>
      <c r="N44" s="1" t="s">
        <v>189</v>
      </c>
    </row>
    <row r="45" spans="1:14" ht="12.75" customHeight="1">
      <c r="A45" s="61" t="s">
        <v>81</v>
      </c>
      <c r="B45" s="61"/>
      <c r="C45" s="61"/>
      <c r="D45" s="61"/>
      <c r="E45" s="61"/>
      <c r="F45" s="61"/>
      <c r="G45" s="61"/>
      <c r="H45" s="110">
        <f ca="1">+H37/H43</f>
        <v>2.1128498240796558</v>
      </c>
      <c r="I45" s="110">
        <f ca="1">+I37/I43</f>
        <v>1.9567027510893487</v>
      </c>
      <c r="J45" s="110">
        <f ca="1">+J37/J43</f>
        <v>1.4290761883217598</v>
      </c>
      <c r="K45" s="110">
        <f ca="1">+K37/K43</f>
        <v>1.2560086872140599</v>
      </c>
      <c r="L45" s="110">
        <f ca="1">+L37/L43</f>
        <v>1.0983251740689692</v>
      </c>
      <c r="N45" s="1" t="s">
        <v>190</v>
      </c>
    </row>
    <row r="46" spans="1:14" ht="12.75" customHeight="1"/>
    <row r="47" spans="1:14" ht="12.75" customHeight="1"/>
    <row r="48" spans="1:1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4"/>
  <sheetViews>
    <sheetView showGridLines="0" zoomScale="85" zoomScaleNormal="85" zoomScaleSheetLayoutView="111" workbookViewId="0"/>
  </sheetViews>
  <sheetFormatPr defaultColWidth="10.7109375" defaultRowHeight="12.7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20" ht="18" customHeight="1">
      <c r="A1" s="3" t="str">
        <f>+'Income Statement'!A1</f>
        <v>Pepsico Financial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0" t="s">
        <v>99</v>
      </c>
    </row>
    <row r="2" spans="1:20" ht="15.95" customHeight="1" thickBot="1">
      <c r="A2" s="6" t="s">
        <v>226</v>
      </c>
      <c r="B2" s="5"/>
      <c r="C2" s="5"/>
      <c r="D2" s="5"/>
      <c r="E2" s="5"/>
      <c r="F2" s="5"/>
      <c r="G2" s="5"/>
      <c r="H2" s="5"/>
      <c r="I2" s="5"/>
      <c r="J2" s="5"/>
      <c r="K2" s="5"/>
      <c r="L2" s="41" t="s">
        <v>129</v>
      </c>
    </row>
    <row r="3" spans="1:20" ht="12.75" customHeight="1"/>
    <row r="4" spans="1:20" ht="12.75" customHeight="1"/>
    <row r="5" spans="1:20" ht="12.75" customHeight="1"/>
    <row r="6" spans="1:20" ht="12.75" customHeight="1">
      <c r="E6" s="115" t="s">
        <v>206</v>
      </c>
      <c r="F6" s="9"/>
      <c r="G6" s="2"/>
      <c r="H6" s="2"/>
      <c r="I6" s="2"/>
      <c r="J6" s="2"/>
      <c r="K6" s="2"/>
      <c r="L6" s="2"/>
      <c r="M6" s="46"/>
      <c r="N6" s="46"/>
    </row>
    <row r="7" spans="1:20" ht="12.75" customHeight="1">
      <c r="E7" s="10" t="s">
        <v>164</v>
      </c>
      <c r="F7" s="11" t="s">
        <v>179</v>
      </c>
      <c r="G7" s="11" t="s">
        <v>193</v>
      </c>
      <c r="H7" s="11" t="s">
        <v>121</v>
      </c>
      <c r="I7" s="11" t="s">
        <v>126</v>
      </c>
      <c r="J7" s="11" t="s">
        <v>165</v>
      </c>
      <c r="K7" s="11" t="s">
        <v>180</v>
      </c>
      <c r="L7" s="11" t="s">
        <v>194</v>
      </c>
      <c r="M7" s="46"/>
      <c r="N7" s="47" t="s">
        <v>67</v>
      </c>
    </row>
    <row r="8" spans="1:20" ht="12.75" customHeight="1">
      <c r="A8" s="21" t="s">
        <v>8</v>
      </c>
      <c r="E8" s="7"/>
      <c r="F8" s="7"/>
      <c r="G8" s="7"/>
      <c r="M8" s="46"/>
      <c r="N8" s="46"/>
    </row>
    <row r="9" spans="1:20" ht="3" customHeight="1">
      <c r="E9" s="7"/>
      <c r="F9" s="7"/>
      <c r="G9" s="7"/>
    </row>
    <row r="10" spans="1:20" ht="12.75" customHeight="1">
      <c r="A10" s="51" t="s">
        <v>154</v>
      </c>
      <c r="H10" s="34">
        <f ca="1">AVERAGE(H23,H25)</f>
        <v>0</v>
      </c>
      <c r="I10" s="34">
        <f t="shared" ref="I10:L10" ca="1" si="0">AVERAGE(I23,I25)</f>
        <v>0</v>
      </c>
      <c r="J10" s="34">
        <f t="shared" ca="1" si="0"/>
        <v>404.12457308333069</v>
      </c>
      <c r="K10" s="34">
        <f t="shared" ca="1" si="0"/>
        <v>698.43888832484845</v>
      </c>
      <c r="L10" s="34">
        <f t="shared" ca="1" si="0"/>
        <v>415.88317703757184</v>
      </c>
      <c r="N10" s="48" t="s">
        <v>169</v>
      </c>
      <c r="T10" s="14"/>
    </row>
    <row r="11" spans="1:20" ht="12.75" customHeight="1">
      <c r="A11" s="51" t="s">
        <v>155</v>
      </c>
      <c r="H11" s="35">
        <f t="shared" ref="H11:L11" si="1">AVERAGE(H24,H26)</f>
        <v>31821</v>
      </c>
      <c r="I11" s="35">
        <f t="shared" si="1"/>
        <v>30821</v>
      </c>
      <c r="J11" s="35">
        <f t="shared" si="1"/>
        <v>26321</v>
      </c>
      <c r="K11" s="35">
        <f t="shared" si="1"/>
        <v>21821</v>
      </c>
      <c r="L11" s="35">
        <f t="shared" si="1"/>
        <v>20821</v>
      </c>
      <c r="N11" s="48" t="s">
        <v>168</v>
      </c>
    </row>
    <row r="12" spans="1:20" ht="12.75" customHeight="1">
      <c r="A12" s="18" t="s">
        <v>44</v>
      </c>
      <c r="B12" s="13"/>
      <c r="C12" s="13"/>
      <c r="D12" s="13"/>
      <c r="E12" s="13"/>
      <c r="F12" s="13"/>
      <c r="G12" s="13"/>
      <c r="H12" s="15">
        <f ca="1">SUM(H10:H11)</f>
        <v>31821</v>
      </c>
      <c r="I12" s="15">
        <f ca="1">SUM(I10:I11)</f>
        <v>30821</v>
      </c>
      <c r="J12" s="15">
        <f ca="1">SUM(J10:J11)</f>
        <v>26725.124573083333</v>
      </c>
      <c r="K12" s="15">
        <f ca="1">SUM(K10:K11)</f>
        <v>22519.438888324847</v>
      </c>
      <c r="L12" s="15">
        <f ca="1">SUM(L10:L11)</f>
        <v>21236.883177037573</v>
      </c>
      <c r="N12" s="48"/>
    </row>
    <row r="13" spans="1:20" ht="12.75" customHeight="1"/>
    <row r="14" spans="1:20" ht="12.75" customHeight="1">
      <c r="A14" s="51" t="s">
        <v>156</v>
      </c>
      <c r="H14" s="20">
        <v>0.03</v>
      </c>
      <c r="I14" s="20">
        <v>0.03</v>
      </c>
      <c r="J14" s="20">
        <v>0.03</v>
      </c>
      <c r="K14" s="20">
        <v>0.03</v>
      </c>
      <c r="L14" s="20">
        <v>0.03</v>
      </c>
    </row>
    <row r="15" spans="1:20" ht="12.75" customHeight="1">
      <c r="A15" s="51" t="s">
        <v>157</v>
      </c>
      <c r="H15" s="20">
        <v>3.5000000000000003E-2</v>
      </c>
      <c r="I15" s="20">
        <v>3.5000000000000003E-2</v>
      </c>
      <c r="J15" s="20">
        <v>3.5000000000000003E-2</v>
      </c>
      <c r="K15" s="20">
        <v>3.5000000000000003E-2</v>
      </c>
      <c r="L15" s="20">
        <v>3.5000000000000003E-2</v>
      </c>
    </row>
    <row r="16" spans="1:20" ht="12.75" customHeight="1">
      <c r="A16" s="18" t="s">
        <v>45</v>
      </c>
      <c r="B16" s="13"/>
      <c r="C16" s="13"/>
      <c r="D16" s="13"/>
      <c r="E16" s="13"/>
      <c r="F16" s="13"/>
      <c r="G16" s="13"/>
      <c r="H16" s="19">
        <f ca="1">H20/H12</f>
        <v>3.5000000000000003E-2</v>
      </c>
      <c r="I16" s="19">
        <f ca="1">I20/I12</f>
        <v>3.5000000000000003E-2</v>
      </c>
      <c r="J16" s="19">
        <f ca="1">J20/J12</f>
        <v>3.4924392387399694E-2</v>
      </c>
      <c r="K16" s="19">
        <f ca="1">K20/K12</f>
        <v>3.4844925334998708E-2</v>
      </c>
      <c r="L16" s="19">
        <f ca="1">L20/L12</f>
        <v>3.4902084695392764E-2</v>
      </c>
      <c r="N16" s="1" t="s">
        <v>62</v>
      </c>
    </row>
    <row r="17" spans="1:14" ht="12.75" customHeight="1"/>
    <row r="18" spans="1:14" ht="12.75" customHeight="1">
      <c r="A18" s="51" t="s">
        <v>158</v>
      </c>
      <c r="H18" s="14">
        <f t="shared" ref="H18:L19" ca="1" si="2">+H10*H14</f>
        <v>0</v>
      </c>
      <c r="I18" s="14">
        <f t="shared" ca="1" si="2"/>
        <v>0</v>
      </c>
      <c r="J18" s="14">
        <f t="shared" ca="1" si="2"/>
        <v>12.12373719249992</v>
      </c>
      <c r="K18" s="14">
        <f t="shared" ca="1" si="2"/>
        <v>20.953166649745452</v>
      </c>
      <c r="L18" s="14">
        <f t="shared" ca="1" si="2"/>
        <v>12.476495311127154</v>
      </c>
      <c r="N18" s="1" t="s">
        <v>166</v>
      </c>
    </row>
    <row r="19" spans="1:14" ht="12.75" customHeight="1">
      <c r="A19" s="51" t="s">
        <v>159</v>
      </c>
      <c r="H19" s="8">
        <f t="shared" si="2"/>
        <v>1113.7350000000001</v>
      </c>
      <c r="I19" s="8">
        <f t="shared" si="2"/>
        <v>1078.7350000000001</v>
      </c>
      <c r="J19" s="8">
        <f t="shared" si="2"/>
        <v>921.23500000000013</v>
      </c>
      <c r="K19" s="8">
        <f t="shared" si="2"/>
        <v>763.73500000000013</v>
      </c>
      <c r="L19" s="8">
        <f t="shared" si="2"/>
        <v>728.73500000000001</v>
      </c>
      <c r="N19" s="1" t="s">
        <v>167</v>
      </c>
    </row>
    <row r="20" spans="1:14" ht="12.75" customHeight="1">
      <c r="A20" s="18" t="s">
        <v>46</v>
      </c>
      <c r="B20" s="13"/>
      <c r="C20" s="13"/>
      <c r="D20" s="13"/>
      <c r="E20" s="13"/>
      <c r="F20" s="13"/>
      <c r="G20" s="13"/>
      <c r="H20" s="54">
        <f ca="1">SUM(H18:H19)</f>
        <v>1113.7350000000001</v>
      </c>
      <c r="I20" s="54">
        <f ca="1">SUM(I18:I19)</f>
        <v>1078.7350000000001</v>
      </c>
      <c r="J20" s="54">
        <f ca="1">SUM(J18:J19)</f>
        <v>933.35873719250003</v>
      </c>
      <c r="K20" s="54">
        <f ca="1">SUM(K18:K19)</f>
        <v>784.68816664974554</v>
      </c>
      <c r="L20" s="54">
        <f ca="1">SUM(L18:L19)</f>
        <v>741.21149531112712</v>
      </c>
    </row>
    <row r="21" spans="1:14" ht="12.75" customHeight="1"/>
    <row r="22" spans="1:14" ht="12.75" customHeight="1">
      <c r="A22" s="1" t="s">
        <v>13</v>
      </c>
    </row>
    <row r="23" spans="1:14" ht="12.75" customHeight="1">
      <c r="A23" s="55" t="s">
        <v>146</v>
      </c>
      <c r="B23" s="55"/>
      <c r="C23" s="55"/>
      <c r="D23" s="55"/>
      <c r="E23" s="55"/>
      <c r="F23" s="55"/>
      <c r="G23" s="55"/>
      <c r="H23" s="56">
        <f>Debt!H10</f>
        <v>0</v>
      </c>
      <c r="I23" s="56">
        <f ca="1">Debt!I10</f>
        <v>0</v>
      </c>
      <c r="J23" s="56">
        <f ca="1">Debt!J10</f>
        <v>0</v>
      </c>
      <c r="K23" s="56">
        <f ca="1">Debt!K10</f>
        <v>808.24914616666138</v>
      </c>
      <c r="L23" s="56">
        <f ca="1">Debt!L10</f>
        <v>588.62863048303552</v>
      </c>
      <c r="N23" s="1" t="s">
        <v>170</v>
      </c>
    </row>
    <row r="24" spans="1:14" ht="12.75" customHeight="1">
      <c r="A24" s="1" t="s">
        <v>147</v>
      </c>
      <c r="H24" s="26">
        <f>Debt!H11</f>
        <v>32321</v>
      </c>
      <c r="I24" s="26">
        <f>Debt!I11</f>
        <v>31321</v>
      </c>
      <c r="J24" s="26">
        <f>Debt!J11</f>
        <v>30321</v>
      </c>
      <c r="K24" s="26">
        <f>Debt!K11</f>
        <v>22321</v>
      </c>
      <c r="L24" s="26">
        <f>Debt!L11</f>
        <v>21321</v>
      </c>
      <c r="N24" s="1" t="s">
        <v>170</v>
      </c>
    </row>
    <row r="25" spans="1:14" ht="12.75" customHeight="1">
      <c r="A25" s="37" t="s">
        <v>150</v>
      </c>
      <c r="H25" s="26">
        <f ca="1">Debt!H35</f>
        <v>0</v>
      </c>
      <c r="I25" s="26">
        <f ca="1">Debt!I35</f>
        <v>0</v>
      </c>
      <c r="J25" s="26">
        <f ca="1">Debt!J35</f>
        <v>808.24914616666138</v>
      </c>
      <c r="K25" s="26">
        <f ca="1">Debt!K35</f>
        <v>588.62863048303552</v>
      </c>
      <c r="L25" s="26">
        <f ca="1">Debt!L35</f>
        <v>243.13772359210816</v>
      </c>
      <c r="N25" s="1" t="s">
        <v>170</v>
      </c>
    </row>
    <row r="26" spans="1:14" ht="12.75" customHeight="1">
      <c r="A26" s="1" t="s">
        <v>151</v>
      </c>
      <c r="H26" s="26">
        <f>Debt!H36</f>
        <v>31321</v>
      </c>
      <c r="I26" s="26">
        <f>Debt!I36</f>
        <v>30321</v>
      </c>
      <c r="J26" s="26">
        <f>Debt!J36</f>
        <v>22321</v>
      </c>
      <c r="K26" s="26">
        <f>Debt!K36</f>
        <v>21321</v>
      </c>
      <c r="L26" s="26">
        <f>Debt!L36</f>
        <v>20321</v>
      </c>
      <c r="N26" s="1" t="s">
        <v>170</v>
      </c>
    </row>
    <row r="27" spans="1:14" ht="12.75" customHeight="1"/>
    <row r="28" spans="1:14" ht="12.75" customHeight="1">
      <c r="A28" s="21" t="s">
        <v>195</v>
      </c>
    </row>
    <row r="29" spans="1:14" ht="3" customHeight="1">
      <c r="A29" s="21"/>
    </row>
    <row r="30" spans="1:14" ht="12.75" customHeight="1">
      <c r="A30" s="32" t="s">
        <v>196</v>
      </c>
      <c r="B30" s="32"/>
      <c r="C30" s="32"/>
      <c r="D30" s="32"/>
      <c r="E30" s="32"/>
      <c r="F30" s="32"/>
      <c r="G30" s="32"/>
      <c r="H30" s="33">
        <f ca="1">AVERAGE(H35,H36)</f>
        <v>9883.481238884393</v>
      </c>
      <c r="I30" s="33">
        <f t="shared" ref="I30:L30" ca="1" si="3">AVERAGE(I35,I36)</f>
        <v>8471.2037062011077</v>
      </c>
      <c r="J30" s="33">
        <f t="shared" ca="1" si="3"/>
        <v>4832.7224673167138</v>
      </c>
      <c r="K30" s="33">
        <f t="shared" ca="1" si="3"/>
        <v>1500</v>
      </c>
      <c r="L30" s="33">
        <f t="shared" ca="1" si="3"/>
        <v>1500</v>
      </c>
      <c r="N30" s="48" t="s">
        <v>197</v>
      </c>
    </row>
    <row r="31" spans="1:14" ht="12.75" customHeight="1">
      <c r="A31" s="111" t="s">
        <v>198</v>
      </c>
      <c r="B31" s="111"/>
      <c r="C31" s="111"/>
      <c r="D31" s="111"/>
      <c r="E31" s="111"/>
      <c r="F31" s="111"/>
      <c r="G31" s="111"/>
      <c r="H31" s="112">
        <v>0.03</v>
      </c>
      <c r="I31" s="112">
        <v>0.03</v>
      </c>
      <c r="J31" s="112">
        <v>0.03</v>
      </c>
      <c r="K31" s="112">
        <v>0.03</v>
      </c>
      <c r="L31" s="112">
        <v>0.03</v>
      </c>
    </row>
    <row r="32" spans="1:14" ht="12.75" customHeight="1">
      <c r="A32" s="12" t="s">
        <v>199</v>
      </c>
      <c r="H32" s="113">
        <f ca="1">H31*H30</f>
        <v>296.50443716653177</v>
      </c>
      <c r="I32" s="113">
        <f t="shared" ref="I32:L32" ca="1" si="4">I31*I30</f>
        <v>254.13611118603322</v>
      </c>
      <c r="J32" s="113">
        <f t="shared" ca="1" si="4"/>
        <v>144.98167401950141</v>
      </c>
      <c r="K32" s="113">
        <f t="shared" ca="1" si="4"/>
        <v>45</v>
      </c>
      <c r="L32" s="113">
        <f t="shared" ca="1" si="4"/>
        <v>45</v>
      </c>
    </row>
    <row r="33" spans="1:14" ht="12.75" customHeight="1"/>
    <row r="34" spans="1:14" ht="12.75" customHeight="1">
      <c r="A34" s="111" t="s">
        <v>200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4" ht="12.75" customHeight="1">
      <c r="A35" s="1" t="s">
        <v>201</v>
      </c>
      <c r="H35" s="25">
        <f>+'Cash Flow Statement'!H26</f>
        <v>10990</v>
      </c>
      <c r="I35" s="25">
        <f ca="1">+'Cash Flow Statement'!I26</f>
        <v>8776.9624777687859</v>
      </c>
      <c r="J35" s="25">
        <f ca="1">+'Cash Flow Statement'!J26</f>
        <v>8165.4449346334277</v>
      </c>
      <c r="K35" s="25">
        <f ca="1">+'Cash Flow Statement'!K26</f>
        <v>1500</v>
      </c>
      <c r="L35" s="25">
        <f ca="1">+'Cash Flow Statement'!L26</f>
        <v>1500</v>
      </c>
      <c r="N35" s="1" t="s">
        <v>65</v>
      </c>
    </row>
    <row r="36" spans="1:14" ht="12.75" customHeight="1">
      <c r="A36" s="1" t="s">
        <v>202</v>
      </c>
      <c r="H36" s="26">
        <f ca="1">+'Cash Flow Statement'!H27</f>
        <v>8776.9624777687859</v>
      </c>
      <c r="I36" s="26">
        <f ca="1">+'Cash Flow Statement'!I27</f>
        <v>8165.4449346334277</v>
      </c>
      <c r="J36" s="26">
        <f ca="1">+'Cash Flow Statement'!J27</f>
        <v>1500</v>
      </c>
      <c r="K36" s="26">
        <f ca="1">+'Cash Flow Statement'!K27</f>
        <v>1500</v>
      </c>
      <c r="L36" s="26">
        <f ca="1">+'Cash Flow Statement'!L27</f>
        <v>1500</v>
      </c>
      <c r="N36" s="1" t="s">
        <v>65</v>
      </c>
    </row>
    <row r="37" spans="1:14" ht="12.75" customHeight="1">
      <c r="E37" s="114"/>
      <c r="F37" s="114"/>
      <c r="G37" s="114"/>
      <c r="H37" s="114"/>
      <c r="I37" s="114"/>
      <c r="J37" s="114"/>
      <c r="K37" s="114"/>
      <c r="L37" s="114"/>
    </row>
    <row r="38" spans="1:14" ht="12.75" customHeight="1"/>
    <row r="39" spans="1:14" ht="12.75" customHeight="1"/>
    <row r="40" spans="1:14" ht="12.75" customHeight="1"/>
    <row r="41" spans="1:14" ht="12.75" customHeight="1"/>
    <row r="42" spans="1:14" ht="12.75" customHeight="1"/>
    <row r="43" spans="1:14" ht="12.75" customHeight="1"/>
    <row r="44" spans="1:14" ht="12.75" customHeight="1"/>
  </sheetData>
  <pageMargins left="0.5" right="0.5" top="0.5" bottom="0.5" header="0.3" footer="0.3"/>
  <pageSetup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'Balance Sheet'!Print_Area</vt:lpstr>
      <vt:lpstr>'Cash Flow Statement'!Print_Area</vt:lpstr>
      <vt:lpstr>Debt!Print_Area</vt:lpstr>
      <vt:lpstr>Equity!Print_Area</vt:lpstr>
      <vt:lpstr>'Income Statement'!Print_Area</vt:lpstr>
      <vt:lpstr>Interest!Print_Area</vt:lpstr>
      <vt:lpstr>'PP&amp;E'!Print_Area</vt:lpstr>
      <vt:lpstr>'Working Capital'!Print_Area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David Lewicki</cp:lastModifiedBy>
  <cp:lastPrinted>2020-03-22T16:18:39Z</cp:lastPrinted>
  <dcterms:created xsi:type="dcterms:W3CDTF">2013-05-29T12:26:19Z</dcterms:created>
  <dcterms:modified xsi:type="dcterms:W3CDTF">2020-03-22T16:55:51Z</dcterms:modified>
</cp:coreProperties>
</file>