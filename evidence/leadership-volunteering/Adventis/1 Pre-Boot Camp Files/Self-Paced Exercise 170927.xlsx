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Adventis\1 Pre-Boot Camp Files\"/>
    </mc:Choice>
  </mc:AlternateContent>
  <xr:revisionPtr revIDLastSave="0" documentId="13_ncr:1_{55EC5C9A-79E3-481F-8C57-CA433D98BD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U" sheetId="10" r:id="rId1"/>
    <sheet name="Start" sheetId="9" r:id="rId2"/>
    <sheet name="End" sheetId="6" r:id="rId3"/>
  </sheets>
  <calcPr calcId="191029" calcMode="autoNoTable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9" l="1"/>
  <c r="F11" i="9"/>
  <c r="F15" i="6"/>
  <c r="G15" i="6"/>
  <c r="G11" i="6"/>
  <c r="F11" i="6"/>
  <c r="H14" i="6"/>
  <c r="H18" i="6" s="1"/>
  <c r="H10" i="6"/>
  <c r="I10" i="6"/>
  <c r="F14" i="6"/>
  <c r="F18" i="6"/>
  <c r="F25" i="6" s="1"/>
  <c r="F21" i="6"/>
  <c r="F22" i="6" s="1"/>
  <c r="G14" i="6"/>
  <c r="G18" i="6"/>
  <c r="G25" i="6" s="1"/>
  <c r="G21" i="6"/>
  <c r="G22" i="6" s="1"/>
  <c r="E14" i="6"/>
  <c r="E15" i="6" s="1"/>
  <c r="E18" i="6"/>
  <c r="E21" i="6" s="1"/>
  <c r="E22" i="6" s="1"/>
  <c r="J10" i="6"/>
  <c r="K10" i="6" s="1"/>
  <c r="I14" i="6"/>
  <c r="I18" i="6" s="1"/>
  <c r="J14" i="6"/>
  <c r="J13" i="6" s="1"/>
  <c r="J18" i="6"/>
  <c r="L10" i="6" l="1"/>
  <c r="K14" i="6"/>
  <c r="K18" i="6" s="1"/>
  <c r="K13" i="6"/>
  <c r="H20" i="6"/>
  <c r="H21" i="6" s="1"/>
  <c r="H22" i="6" s="1"/>
  <c r="J21" i="6"/>
  <c r="J22" i="6" s="1"/>
  <c r="I20" i="6"/>
  <c r="I21" i="6" s="1"/>
  <c r="I22" i="6" s="1"/>
  <c r="J20" i="6"/>
  <c r="H13" i="6"/>
  <c r="E25" i="6"/>
  <c r="I13" i="6"/>
  <c r="K20" i="6" l="1"/>
  <c r="K21" i="6"/>
  <c r="K22" i="6" s="1"/>
  <c r="L14" i="6"/>
  <c r="L18" i="6" s="1"/>
  <c r="L13" i="6"/>
  <c r="L20" i="6" l="1"/>
  <c r="L21" i="6"/>
  <c r="L22" i="6" s="1"/>
</calcChain>
</file>

<file path=xl/sharedStrings.xml><?xml version="1.0" encoding="utf-8"?>
<sst xmlns="http://schemas.openxmlformats.org/spreadsheetml/2006/main" count="54" uniqueCount="28">
  <si>
    <t>Income Statement ($ in Millions)</t>
  </si>
  <si>
    <t>Fiscal Year Ending Dec 31,</t>
  </si>
  <si>
    <t>2017E</t>
  </si>
  <si>
    <t>2018E</t>
  </si>
  <si>
    <t>Income Statement</t>
  </si>
  <si>
    <t>Revenue</t>
  </si>
  <si>
    <t>% Growth</t>
  </si>
  <si>
    <t>Operating Expenses</t>
  </si>
  <si>
    <t>Operating Income</t>
  </si>
  <si>
    <t>% Margin</t>
  </si>
  <si>
    <t>Non-Operating Expenses</t>
  </si>
  <si>
    <t>Income Before Tax</t>
  </si>
  <si>
    <t>Taxes</t>
  </si>
  <si>
    <t>Net Income</t>
  </si>
  <si>
    <t>Metrics &amp; Drivers</t>
  </si>
  <si>
    <t>Corporate Tax Rate</t>
  </si>
  <si>
    <t>Financial Model</t>
  </si>
  <si>
    <t>Product protected by copyright</t>
  </si>
  <si>
    <t>Terms of Use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</si>
  <si>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</si>
  <si>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</si>
  <si>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This document subject to the Terms of Use. © 2013 Adventis CG Training LLC</t>
  </si>
  <si>
    <t>2015A</t>
  </si>
  <si>
    <t>2016A</t>
  </si>
  <si>
    <t>2019E</t>
  </si>
  <si>
    <t>2020E</t>
  </si>
  <si>
    <t>2021E</t>
  </si>
  <si>
    <t>2014A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</si>
</sst>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%_);\(#,##0.0%\);\ \-\ \-\ "/>
    <numFmt numFmtId="165" formatCode="&quot;$&quot;#,##0_);\(&quot;$&quot;#,##0\);\ \-\ \-\ "/>
    <numFmt numFmtId="166" formatCode="#,##0_);\(#,##0\);\ \-\ \-\ "/>
    <numFmt numFmtId="167" formatCode="&quot;$&quot;#,##0.0_);\(&quot;$&quot;#,##0.0\);\ \-\ \-\ 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Continuous" vertical="center"/>
    </xf>
    <xf numFmtId="0" fontId="5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 indent="1"/>
    </xf>
    <xf numFmtId="164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0" fontId="3" fillId="0" borderId="3" xfId="0" applyFont="1" applyBorder="1" applyAlignment="1">
      <alignment horizontal="left" vertical="center" indent="1"/>
    </xf>
    <xf numFmtId="165" fontId="3" fillId="0" borderId="3" xfId="0" applyNumberFormat="1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Continuous" vertical="center"/>
    </xf>
    <xf numFmtId="0" fontId="3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4" fillId="3" borderId="2" xfId="0" applyFont="1" applyFill="1" applyBorder="1" applyAlignment="1">
      <alignment horizontal="centerContinuous" vertical="center"/>
    </xf>
    <xf numFmtId="0" fontId="3" fillId="3" borderId="0" xfId="0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164" fontId="3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166" fontId="6" fillId="3" borderId="0" xfId="0" applyNumberFormat="1" applyFont="1" applyFill="1" applyAlignment="1">
      <alignment vertical="center"/>
    </xf>
    <xf numFmtId="165" fontId="3" fillId="3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7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6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8"/>
  <sheetViews>
    <sheetView showGridLines="0" workbookViewId="0"/>
  </sheetViews>
  <sheetFormatPr defaultColWidth="9.109375" defaultRowHeight="15.15" customHeight="1" x14ac:dyDescent="0.25"/>
  <cols>
    <col min="1" max="1" width="130.6640625" style="28" customWidth="1"/>
    <col min="2" max="16384" width="9.109375" style="28"/>
  </cols>
  <sheetData>
    <row r="2" spans="1:1" ht="15.15" customHeight="1" x14ac:dyDescent="0.25">
      <c r="A2" s="29" t="s">
        <v>18</v>
      </c>
    </row>
    <row r="3" spans="1:1" ht="5.0999999999999996" customHeight="1" x14ac:dyDescent="0.25"/>
    <row r="4" spans="1:1" ht="30" customHeight="1" x14ac:dyDescent="0.25">
      <c r="A4" s="27" t="s">
        <v>19</v>
      </c>
    </row>
    <row r="7" spans="1:1" ht="15.15" customHeight="1" x14ac:dyDescent="0.25">
      <c r="A7" s="28" t="s">
        <v>17</v>
      </c>
    </row>
    <row r="8" spans="1:1" ht="15.15" customHeight="1" x14ac:dyDescent="0.25">
      <c r="A8" s="28" t="s">
        <v>20</v>
      </c>
    </row>
  </sheetData>
  <pageMargins left="0.5" right="0.5" top="0.5" bottom="0.5" header="0.3" footer="0.3"/>
  <pageSetup orientation="landscape" horizontalDpi="300" verticalDpi="300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"/>
  <sheetViews>
    <sheetView showGridLines="0" tabSelected="1" workbookViewId="0">
      <selection activeCell="I20" sqref="I20"/>
    </sheetView>
  </sheetViews>
  <sheetFormatPr defaultColWidth="9.109375" defaultRowHeight="13.8" x14ac:dyDescent="0.3"/>
  <cols>
    <col min="1" max="12" width="10.5546875" style="30" customWidth="1"/>
    <col min="13" max="16384" width="9.109375" style="30"/>
  </cols>
  <sheetData>
    <row r="1" spans="1:12" ht="18" customHeight="1" x14ac:dyDescent="0.3">
      <c r="A1" s="12" t="s">
        <v>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5.9" customHeight="1" thickBot="1" x14ac:dyDescent="0.35">
      <c r="A2" s="14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2.75" customHeight="1" x14ac:dyDescent="0.3"/>
    <row r="4" spans="1:12" s="1" customFormat="1" ht="12.75" customHeight="1" x14ac:dyDescent="0.3"/>
    <row r="5" spans="1:12" s="1" customFormat="1" ht="12.75" customHeight="1" x14ac:dyDescent="0.3"/>
    <row r="6" spans="1:12" s="1" customFormat="1" ht="12.75" customHeight="1" x14ac:dyDescent="0.3">
      <c r="E6" s="16" t="s">
        <v>1</v>
      </c>
      <c r="F6" s="33"/>
      <c r="G6" s="33"/>
      <c r="H6" s="33"/>
      <c r="I6" s="33"/>
      <c r="J6" s="33"/>
      <c r="K6" s="33"/>
      <c r="L6" s="33"/>
    </row>
    <row r="7" spans="1:12" s="1" customFormat="1" ht="12.75" customHeight="1" x14ac:dyDescent="0.3">
      <c r="E7" s="2" t="s">
        <v>27</v>
      </c>
      <c r="F7" s="2" t="s">
        <v>22</v>
      </c>
      <c r="G7" s="2" t="s">
        <v>23</v>
      </c>
      <c r="H7" s="2" t="s">
        <v>2</v>
      </c>
      <c r="I7" s="2" t="s">
        <v>3</v>
      </c>
      <c r="J7" s="2" t="s">
        <v>24</v>
      </c>
      <c r="K7" s="2" t="s">
        <v>25</v>
      </c>
      <c r="L7" s="2" t="s">
        <v>26</v>
      </c>
    </row>
    <row r="8" spans="1:12" s="1" customFormat="1" ht="12.75" customHeight="1" x14ac:dyDescent="0.3">
      <c r="A8" s="3" t="s">
        <v>4</v>
      </c>
    </row>
    <row r="9" spans="1:12" s="1" customFormat="1" ht="5.0999999999999996" customHeight="1" x14ac:dyDescent="0.3"/>
    <row r="10" spans="1:12" s="1" customFormat="1" ht="12.75" customHeight="1" x14ac:dyDescent="0.3">
      <c r="A10" s="37" t="s">
        <v>5</v>
      </c>
      <c r="B10" s="37"/>
      <c r="C10" s="37"/>
      <c r="D10" s="37"/>
      <c r="E10" s="38">
        <v>600</v>
      </c>
      <c r="F10" s="38">
        <v>650</v>
      </c>
      <c r="G10" s="38">
        <v>700</v>
      </c>
    </row>
    <row r="11" spans="1:12" s="1" customFormat="1" ht="12.75" customHeight="1" x14ac:dyDescent="0.3">
      <c r="A11" s="1" t="s">
        <v>6</v>
      </c>
      <c r="F11" s="5">
        <f>F10/E10-1</f>
        <v>8.3333333333333259E-2</v>
      </c>
      <c r="G11" s="5">
        <f>G10/F10-1</f>
        <v>7.6923076923076872E-2</v>
      </c>
      <c r="H11" s="8">
        <v>0.08</v>
      </c>
      <c r="I11" s="8">
        <v>0.08</v>
      </c>
      <c r="J11" s="8">
        <v>0.08</v>
      </c>
      <c r="K11" s="8">
        <v>0.08</v>
      </c>
      <c r="L11" s="8">
        <v>0.08</v>
      </c>
    </row>
    <row r="12" spans="1:12" s="1" customFormat="1" ht="12.75" customHeight="1" x14ac:dyDescent="0.3"/>
    <row r="13" spans="1:12" s="1" customFormat="1" ht="12.75" customHeight="1" x14ac:dyDescent="0.3">
      <c r="A13" s="1" t="s">
        <v>7</v>
      </c>
      <c r="E13" s="36">
        <v>540</v>
      </c>
      <c r="F13" s="36">
        <v>580</v>
      </c>
      <c r="G13" s="36">
        <v>625</v>
      </c>
    </row>
    <row r="14" spans="1:12" s="1" customFormat="1" ht="12.75" customHeight="1" x14ac:dyDescent="0.3">
      <c r="A14" s="10" t="s">
        <v>8</v>
      </c>
      <c r="B14" s="10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s="1" customFormat="1" ht="12.75" customHeight="1" x14ac:dyDescent="0.3">
      <c r="A15" s="35" t="s">
        <v>9</v>
      </c>
      <c r="B15" s="35"/>
      <c r="C15" s="34"/>
      <c r="D15" s="34"/>
      <c r="E15" s="34"/>
      <c r="F15" s="34"/>
      <c r="G15" s="34"/>
      <c r="H15" s="40">
        <v>0.11</v>
      </c>
      <c r="I15" s="40">
        <v>0.11</v>
      </c>
      <c r="J15" s="40">
        <v>0.11</v>
      </c>
      <c r="K15" s="40">
        <v>0.11</v>
      </c>
      <c r="L15" s="40">
        <v>0.11</v>
      </c>
    </row>
    <row r="16" spans="1:12" s="1" customFormat="1" ht="12.75" customHeight="1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</row>
    <row r="17" spans="1:12" s="1" customFormat="1" ht="12.75" customHeight="1" x14ac:dyDescent="0.3">
      <c r="A17" s="34" t="s">
        <v>10</v>
      </c>
      <c r="B17" s="34"/>
      <c r="C17" s="34"/>
      <c r="D17" s="34"/>
      <c r="E17" s="39">
        <v>7</v>
      </c>
      <c r="F17" s="39">
        <v>8</v>
      </c>
      <c r="G17" s="39">
        <v>9</v>
      </c>
      <c r="H17" s="39">
        <v>10</v>
      </c>
      <c r="I17" s="39">
        <v>10</v>
      </c>
      <c r="J17" s="39">
        <v>10</v>
      </c>
      <c r="K17" s="39">
        <v>10</v>
      </c>
      <c r="L17" s="39">
        <v>10</v>
      </c>
    </row>
    <row r="18" spans="1:12" s="1" customFormat="1" ht="12.75" customHeight="1" x14ac:dyDescent="0.3">
      <c r="A18" s="10" t="s">
        <v>11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1:12" s="1" customFormat="1" ht="12.75" customHeight="1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</row>
    <row r="20" spans="1:12" s="1" customFormat="1" ht="12.75" customHeight="1" x14ac:dyDescent="0.3">
      <c r="A20" s="34" t="s">
        <v>12</v>
      </c>
      <c r="B20" s="34"/>
      <c r="C20" s="34"/>
      <c r="D20" s="34"/>
      <c r="E20" s="39">
        <v>19</v>
      </c>
      <c r="F20" s="39">
        <v>22</v>
      </c>
      <c r="G20" s="39">
        <v>23</v>
      </c>
      <c r="H20" s="34"/>
      <c r="I20" s="34"/>
      <c r="J20" s="34"/>
      <c r="K20" s="34"/>
      <c r="L20" s="34"/>
    </row>
    <row r="21" spans="1:12" s="1" customFormat="1" ht="12.75" customHeight="1" x14ac:dyDescent="0.3">
      <c r="A21" s="10" t="s">
        <v>13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12" s="1" customFormat="1" ht="12.75" customHeight="1" x14ac:dyDescent="0.3">
      <c r="A22" s="35" t="s">
        <v>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spans="1:12" s="1" customFormat="1" ht="12.75" customHeight="1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spans="1:12" s="1" customFormat="1" ht="12.75" customHeight="1" x14ac:dyDescent="0.3">
      <c r="A24" s="34" t="s">
        <v>14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spans="1:12" s="1" customFormat="1" ht="12.75" customHeight="1" x14ac:dyDescent="0.3">
      <c r="A25" s="17" t="s">
        <v>15</v>
      </c>
      <c r="B25" s="17"/>
      <c r="C25" s="17"/>
      <c r="D25" s="17"/>
      <c r="E25" s="17"/>
      <c r="F25" s="17"/>
      <c r="G25" s="17"/>
      <c r="H25" s="17">
        <v>0.35</v>
      </c>
      <c r="I25" s="17">
        <v>0.35</v>
      </c>
      <c r="J25" s="17">
        <v>0.35</v>
      </c>
      <c r="K25" s="17">
        <v>0.35</v>
      </c>
      <c r="L25" s="17">
        <v>0.35</v>
      </c>
    </row>
    <row r="26" spans="1:12" s="1" customFormat="1" ht="12.75" customHeight="1" x14ac:dyDescent="0.3"/>
    <row r="27" spans="1:12" s="1" customFormat="1" ht="12.75" customHeight="1" x14ac:dyDescent="0.3"/>
    <row r="28" spans="1:12" s="1" customFormat="1" ht="12.75" customHeight="1" x14ac:dyDescent="0.3"/>
    <row r="29" spans="1:12" s="1" customFormat="1" ht="12.75" customHeight="1" x14ac:dyDescent="0.3"/>
    <row r="30" spans="1:12" s="1" customFormat="1" ht="12.75" customHeight="1" x14ac:dyDescent="0.3"/>
    <row r="31" spans="1:12" s="1" customFormat="1" ht="12.75" customHeight="1" x14ac:dyDescent="0.3"/>
    <row r="32" spans="1:12" s="1" customFormat="1" ht="12.75" customHeight="1" x14ac:dyDescent="0.3"/>
    <row r="33" spans="1:1" s="1" customFormat="1" ht="12.75" customHeight="1" x14ac:dyDescent="0.3"/>
    <row r="34" spans="1:1" s="1" customFormat="1" ht="12.75" customHeight="1" x14ac:dyDescent="0.3"/>
    <row r="35" spans="1:1" s="1" customFormat="1" ht="12.75" customHeight="1" x14ac:dyDescent="0.3"/>
    <row r="36" spans="1:1" s="1" customFormat="1" ht="12.75" customHeight="1" x14ac:dyDescent="0.3"/>
    <row r="37" spans="1:1" s="1" customFormat="1" ht="12.75" customHeight="1" x14ac:dyDescent="0.3"/>
    <row r="38" spans="1:1" s="1" customFormat="1" ht="12.75" customHeight="1" x14ac:dyDescent="0.3"/>
    <row r="39" spans="1:1" s="1" customFormat="1" ht="12.75" customHeight="1" x14ac:dyDescent="0.3"/>
    <row r="40" spans="1:1" s="1" customFormat="1" ht="12.75" customHeight="1" x14ac:dyDescent="0.3"/>
    <row r="41" spans="1:1" s="1" customFormat="1" ht="12.75" customHeight="1" x14ac:dyDescent="0.3"/>
    <row r="42" spans="1:1" s="1" customFormat="1" ht="12.75" customHeight="1" x14ac:dyDescent="0.3">
      <c r="A42" s="1" t="s">
        <v>21</v>
      </c>
    </row>
    <row r="43" spans="1:1" s="1" customFormat="1" ht="12.75" customHeight="1" x14ac:dyDescent="0.3"/>
    <row r="44" spans="1:1" s="1" customFormat="1" ht="13.2" x14ac:dyDescent="0.3"/>
    <row r="45" spans="1:1" s="1" customFormat="1" ht="13.2" x14ac:dyDescent="0.3"/>
    <row r="46" spans="1:1" s="1" customFormat="1" ht="13.2" x14ac:dyDescent="0.3"/>
    <row r="47" spans="1:1" s="1" customFormat="1" ht="13.2" x14ac:dyDescent="0.3"/>
    <row r="48" spans="1:1" s="1" customFormat="1" ht="13.2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showGridLines="0" workbookViewId="0"/>
  </sheetViews>
  <sheetFormatPr defaultColWidth="10.6640625" defaultRowHeight="13.2" x14ac:dyDescent="0.3"/>
  <cols>
    <col min="1" max="12" width="10.5546875" style="1" customWidth="1"/>
    <col min="13" max="16384" width="10.6640625" style="1"/>
  </cols>
  <sheetData>
    <row r="1" spans="1:12" ht="18" customHeight="1" x14ac:dyDescent="0.3">
      <c r="A1" s="12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9" customHeight="1" thickBot="1" x14ac:dyDescent="0.3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6" spans="1:12" x14ac:dyDescent="0.3">
      <c r="E6" s="16" t="s">
        <v>1</v>
      </c>
      <c r="F6" s="16"/>
      <c r="G6" s="16"/>
      <c r="H6" s="16"/>
      <c r="I6" s="16"/>
      <c r="J6" s="16"/>
      <c r="K6" s="16"/>
      <c r="L6" s="16"/>
    </row>
    <row r="7" spans="1:12" x14ac:dyDescent="0.3">
      <c r="E7" s="19" t="s">
        <v>27</v>
      </c>
      <c r="F7" s="19" t="s">
        <v>22</v>
      </c>
      <c r="G7" s="19" t="s">
        <v>23</v>
      </c>
      <c r="H7" s="2" t="s">
        <v>2</v>
      </c>
      <c r="I7" s="2" t="s">
        <v>3</v>
      </c>
      <c r="J7" s="2" t="s">
        <v>24</v>
      </c>
      <c r="K7" s="2" t="s">
        <v>25</v>
      </c>
      <c r="L7" s="2" t="s">
        <v>26</v>
      </c>
    </row>
    <row r="8" spans="1:12" x14ac:dyDescent="0.3">
      <c r="A8" s="3" t="s">
        <v>4</v>
      </c>
      <c r="E8" s="20"/>
      <c r="F8" s="20"/>
      <c r="G8" s="20"/>
    </row>
    <row r="9" spans="1:12" ht="5.0999999999999996" customHeight="1" x14ac:dyDescent="0.3">
      <c r="E9" s="20"/>
      <c r="F9" s="20"/>
      <c r="G9" s="20"/>
    </row>
    <row r="10" spans="1:12" x14ac:dyDescent="0.3">
      <c r="A10" s="1" t="s">
        <v>5</v>
      </c>
      <c r="E10" s="21">
        <v>600</v>
      </c>
      <c r="F10" s="21">
        <v>650</v>
      </c>
      <c r="G10" s="21">
        <v>700</v>
      </c>
      <c r="H10" s="4">
        <f>+G10*(1+H11)</f>
        <v>756</v>
      </c>
      <c r="I10" s="4">
        <f t="shared" ref="I10:L10" si="0">+H10*(1+I11)</f>
        <v>816.48</v>
      </c>
      <c r="J10" s="4">
        <f t="shared" si="0"/>
        <v>881.79840000000013</v>
      </c>
      <c r="K10" s="4">
        <f t="shared" si="0"/>
        <v>952.34227200000021</v>
      </c>
      <c r="L10" s="4">
        <f t="shared" si="0"/>
        <v>1028.5296537600002</v>
      </c>
    </row>
    <row r="11" spans="1:12" x14ac:dyDescent="0.3">
      <c r="A11" s="1" t="s">
        <v>6</v>
      </c>
      <c r="E11" s="22"/>
      <c r="F11" s="22">
        <f>+F10/E10-1</f>
        <v>8.3333333333333259E-2</v>
      </c>
      <c r="G11" s="22">
        <f>+G10/F10-1</f>
        <v>7.6923076923076872E-2</v>
      </c>
      <c r="H11" s="8">
        <v>0.08</v>
      </c>
      <c r="I11" s="8">
        <v>0.08</v>
      </c>
      <c r="J11" s="8">
        <v>0.08</v>
      </c>
      <c r="K11" s="8">
        <v>0.08</v>
      </c>
      <c r="L11" s="8">
        <v>0.08</v>
      </c>
    </row>
    <row r="12" spans="1:12" x14ac:dyDescent="0.3">
      <c r="E12" s="23"/>
      <c r="F12" s="23"/>
      <c r="G12" s="23"/>
      <c r="H12" s="4"/>
      <c r="I12" s="4"/>
      <c r="J12" s="4"/>
      <c r="K12" s="4"/>
      <c r="L12" s="4"/>
    </row>
    <row r="13" spans="1:12" x14ac:dyDescent="0.3">
      <c r="A13" s="1" t="s">
        <v>7</v>
      </c>
      <c r="E13" s="24">
        <v>540</v>
      </c>
      <c r="F13" s="24">
        <v>580</v>
      </c>
      <c r="G13" s="24">
        <v>625</v>
      </c>
      <c r="H13" s="6">
        <f>+H10-H14</f>
        <v>672.84</v>
      </c>
      <c r="I13" s="6">
        <f t="shared" ref="I13:L13" si="1">+I10-I14</f>
        <v>726.66719999999998</v>
      </c>
      <c r="J13" s="6">
        <f t="shared" si="1"/>
        <v>784.80057600000009</v>
      </c>
      <c r="K13" s="6">
        <f t="shared" si="1"/>
        <v>847.58462208000014</v>
      </c>
      <c r="L13" s="6">
        <f t="shared" si="1"/>
        <v>915.39139184640021</v>
      </c>
    </row>
    <row r="14" spans="1:12" x14ac:dyDescent="0.3">
      <c r="A14" s="10" t="s">
        <v>8</v>
      </c>
      <c r="B14" s="17"/>
      <c r="C14" s="17"/>
      <c r="D14" s="17"/>
      <c r="E14" s="25">
        <f>+E10-E13</f>
        <v>60</v>
      </c>
      <c r="F14" s="25">
        <f t="shared" ref="F14:G14" si="2">+F10-F13</f>
        <v>70</v>
      </c>
      <c r="G14" s="25">
        <f t="shared" si="2"/>
        <v>75</v>
      </c>
      <c r="H14" s="11">
        <f>+H15*H10</f>
        <v>83.16</v>
      </c>
      <c r="I14" s="11">
        <f t="shared" ref="I14:L14" si="3">+I15*I10</f>
        <v>89.812799999999996</v>
      </c>
      <c r="J14" s="11">
        <f t="shared" si="3"/>
        <v>96.997824000000008</v>
      </c>
      <c r="K14" s="11">
        <f t="shared" si="3"/>
        <v>104.75764992000002</v>
      </c>
      <c r="L14" s="11">
        <f t="shared" si="3"/>
        <v>113.13826191360002</v>
      </c>
    </row>
    <row r="15" spans="1:12" x14ac:dyDescent="0.3">
      <c r="A15" s="7" t="s">
        <v>9</v>
      </c>
      <c r="E15" s="22">
        <f t="shared" ref="E15:F15" si="4">+E14/E10</f>
        <v>0.1</v>
      </c>
      <c r="F15" s="22">
        <f t="shared" si="4"/>
        <v>0.1076923076923077</v>
      </c>
      <c r="G15" s="22">
        <f>+G14/G10</f>
        <v>0.10714285714285714</v>
      </c>
      <c r="H15" s="8">
        <v>0.11</v>
      </c>
      <c r="I15" s="8">
        <v>0.11</v>
      </c>
      <c r="J15" s="8">
        <v>0.11</v>
      </c>
      <c r="K15" s="8">
        <v>0.11</v>
      </c>
      <c r="L15" s="8">
        <v>0.11</v>
      </c>
    </row>
    <row r="16" spans="1:12" x14ac:dyDescent="0.3">
      <c r="E16" s="23"/>
      <c r="F16" s="23"/>
      <c r="G16" s="23"/>
      <c r="H16" s="4"/>
      <c r="I16" s="4"/>
      <c r="J16" s="4"/>
      <c r="K16" s="4"/>
      <c r="L16" s="4"/>
    </row>
    <row r="17" spans="1:12" x14ac:dyDescent="0.3">
      <c r="A17" s="1" t="s">
        <v>10</v>
      </c>
      <c r="E17" s="24">
        <v>7</v>
      </c>
      <c r="F17" s="24">
        <v>8</v>
      </c>
      <c r="G17" s="24">
        <v>9</v>
      </c>
      <c r="H17" s="9">
        <v>10</v>
      </c>
      <c r="I17" s="9">
        <v>10</v>
      </c>
      <c r="J17" s="9">
        <v>10</v>
      </c>
      <c r="K17" s="9">
        <v>10</v>
      </c>
      <c r="L17" s="9">
        <v>10</v>
      </c>
    </row>
    <row r="18" spans="1:12" x14ac:dyDescent="0.3">
      <c r="A18" s="10" t="s">
        <v>11</v>
      </c>
      <c r="B18" s="17"/>
      <c r="C18" s="17"/>
      <c r="D18" s="17"/>
      <c r="E18" s="25">
        <f>+E14-E17</f>
        <v>53</v>
      </c>
      <c r="F18" s="25">
        <f t="shared" ref="F18:L18" si="5">+F14-F17</f>
        <v>62</v>
      </c>
      <c r="G18" s="25">
        <f t="shared" si="5"/>
        <v>66</v>
      </c>
      <c r="H18" s="11">
        <f t="shared" si="5"/>
        <v>73.16</v>
      </c>
      <c r="I18" s="11">
        <f t="shared" si="5"/>
        <v>79.812799999999996</v>
      </c>
      <c r="J18" s="11">
        <f t="shared" si="5"/>
        <v>86.997824000000008</v>
      </c>
      <c r="K18" s="11">
        <f t="shared" si="5"/>
        <v>94.75764992000002</v>
      </c>
      <c r="L18" s="11">
        <f t="shared" si="5"/>
        <v>103.13826191360002</v>
      </c>
    </row>
    <row r="19" spans="1:12" x14ac:dyDescent="0.3">
      <c r="E19" s="23"/>
      <c r="F19" s="23"/>
      <c r="G19" s="23"/>
      <c r="H19" s="4"/>
      <c r="I19" s="4"/>
      <c r="J19" s="4"/>
      <c r="K19" s="4"/>
      <c r="L19" s="4"/>
    </row>
    <row r="20" spans="1:12" x14ac:dyDescent="0.3">
      <c r="A20" s="1" t="s">
        <v>12</v>
      </c>
      <c r="E20" s="24">
        <v>19</v>
      </c>
      <c r="F20" s="24">
        <v>22</v>
      </c>
      <c r="G20" s="24">
        <v>23</v>
      </c>
      <c r="H20" s="6">
        <f>+H18*H25</f>
        <v>25.605999999999998</v>
      </c>
      <c r="I20" s="6">
        <f t="shared" ref="I20:L20" si="6">+I18*I25</f>
        <v>27.934479999999997</v>
      </c>
      <c r="J20" s="6">
        <f t="shared" si="6"/>
        <v>30.449238400000002</v>
      </c>
      <c r="K20" s="6">
        <f t="shared" si="6"/>
        <v>33.165177472000003</v>
      </c>
      <c r="L20" s="6">
        <f t="shared" si="6"/>
        <v>36.098391669760005</v>
      </c>
    </row>
    <row r="21" spans="1:12" x14ac:dyDescent="0.3">
      <c r="A21" s="10" t="s">
        <v>13</v>
      </c>
      <c r="B21" s="17"/>
      <c r="C21" s="17"/>
      <c r="D21" s="17"/>
      <c r="E21" s="25">
        <f>+E18-E20</f>
        <v>34</v>
      </c>
      <c r="F21" s="25">
        <f t="shared" ref="F21:L21" si="7">+F18-F20</f>
        <v>40</v>
      </c>
      <c r="G21" s="25">
        <f t="shared" si="7"/>
        <v>43</v>
      </c>
      <c r="H21" s="11">
        <f t="shared" si="7"/>
        <v>47.554000000000002</v>
      </c>
      <c r="I21" s="11">
        <f t="shared" si="7"/>
        <v>51.878320000000002</v>
      </c>
      <c r="J21" s="11">
        <f t="shared" si="7"/>
        <v>56.54858560000001</v>
      </c>
      <c r="K21" s="11">
        <f t="shared" si="7"/>
        <v>61.592472448000017</v>
      </c>
      <c r="L21" s="11">
        <f t="shared" si="7"/>
        <v>67.039870243840014</v>
      </c>
    </row>
    <row r="22" spans="1:12" x14ac:dyDescent="0.3">
      <c r="A22" s="7" t="s">
        <v>9</v>
      </c>
      <c r="E22" s="22">
        <f t="shared" ref="E22:F22" si="8">+E21/E10</f>
        <v>5.6666666666666664E-2</v>
      </c>
      <c r="F22" s="22">
        <f t="shared" si="8"/>
        <v>6.1538461538461542E-2</v>
      </c>
      <c r="G22" s="22">
        <f>+G21/G10</f>
        <v>6.142857142857143E-2</v>
      </c>
      <c r="H22" s="5">
        <f t="shared" ref="H22:L22" si="9">+H21/H$10</f>
        <v>6.2902116402116404E-2</v>
      </c>
      <c r="I22" s="5">
        <f t="shared" si="9"/>
        <v>6.3538996668626294E-2</v>
      </c>
      <c r="J22" s="5">
        <f t="shared" si="9"/>
        <v>6.4128700619098422E-2</v>
      </c>
      <c r="K22" s="5">
        <f t="shared" si="9"/>
        <v>6.4674722795461506E-2</v>
      </c>
      <c r="L22" s="5">
        <f t="shared" si="9"/>
        <v>6.5180298884686572E-2</v>
      </c>
    </row>
    <row r="23" spans="1:12" x14ac:dyDescent="0.3">
      <c r="E23" s="23"/>
      <c r="F23" s="23"/>
      <c r="G23" s="23"/>
      <c r="H23" s="4"/>
      <c r="I23" s="4"/>
      <c r="J23" s="4"/>
      <c r="K23" s="4"/>
      <c r="L23" s="4"/>
    </row>
    <row r="24" spans="1:12" x14ac:dyDescent="0.3">
      <c r="A24" s="1" t="s">
        <v>14</v>
      </c>
      <c r="E24" s="23"/>
      <c r="F24" s="23"/>
      <c r="G24" s="23"/>
      <c r="H24" s="4"/>
      <c r="I24" s="4"/>
      <c r="J24" s="4"/>
      <c r="K24" s="4"/>
      <c r="L24" s="4"/>
    </row>
    <row r="25" spans="1:12" x14ac:dyDescent="0.3">
      <c r="A25" s="17" t="s">
        <v>15</v>
      </c>
      <c r="B25" s="17"/>
      <c r="C25" s="17"/>
      <c r="D25" s="17"/>
      <c r="E25" s="26">
        <f>+E20/E18</f>
        <v>0.35849056603773582</v>
      </c>
      <c r="F25" s="26">
        <f>+F20/F18</f>
        <v>0.35483870967741937</v>
      </c>
      <c r="G25" s="26">
        <f>+G20/G18</f>
        <v>0.34848484848484851</v>
      </c>
      <c r="H25" s="18">
        <v>0.35</v>
      </c>
      <c r="I25" s="18">
        <v>0.35</v>
      </c>
      <c r="J25" s="18">
        <v>0.35</v>
      </c>
      <c r="K25" s="18">
        <v>0.35</v>
      </c>
      <c r="L25" s="18">
        <v>0.35</v>
      </c>
    </row>
    <row r="42" spans="1:1" x14ac:dyDescent="0.3">
      <c r="A42" s="1" t="s">
        <v>21</v>
      </c>
    </row>
  </sheetData>
  <pageMargins left="0.5" right="0.5" top="0.5" bottom="0.5" header="0.3" footer="0.3"/>
  <pageSetup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</vt:lpstr>
      <vt:lpstr>Start</vt:lpstr>
      <vt:lpstr>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leo goldberg</cp:lastModifiedBy>
  <cp:lastPrinted>2014-09-01T18:31:42Z</cp:lastPrinted>
  <dcterms:created xsi:type="dcterms:W3CDTF">2013-06-02T19:01:56Z</dcterms:created>
  <dcterms:modified xsi:type="dcterms:W3CDTF">2023-11-05T15:33:23Z</dcterms:modified>
</cp:coreProperties>
</file>