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Lewicki\Dropbox\Adventis CG Training LLC\Boot Camp Documents\Financial Model #1\2019-2020 Academic Year (Adventis Air)\Documents for Boot Camp\"/>
    </mc:Choice>
  </mc:AlternateContent>
  <xr:revisionPtr revIDLastSave="0" documentId="13_ncr:1_{6C0C9408-7A20-4C5D-97FF-295085EFE790}" xr6:coauthVersionLast="45" xr6:coauthVersionMax="45" xr10:uidLastSave="{00000000-0000-0000-0000-000000000000}"/>
  <bookViews>
    <workbookView xWindow="-120" yWindow="-120" windowWidth="25440" windowHeight="15390" tabRatio="832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9" r:id="rId8"/>
    <sheet name="Interest" sheetId="11" r:id="rId9"/>
    <sheet name="Public Comps" sheetId="17" r:id="rId10"/>
    <sheet name="M&amp;A Comps" sheetId="18" r:id="rId11"/>
    <sheet name="WACC" sheetId="19" r:id="rId12"/>
    <sheet name="DCF" sheetId="12" r:id="rId13"/>
    <sheet name="Valuation Output" sheetId="13" r:id="rId14"/>
    <sheet name="LBO" sheetId="16" r:id="rId15"/>
  </sheets>
  <definedNames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Sheet'!$A$1:$L$43</definedName>
    <definedName name="_xlnm.Print_Area" localSheetId="3">'Cash Flow Statement'!$A$1:$L$40</definedName>
    <definedName name="_xlnm.Print_Area" localSheetId="12">DCF!$A$1:$L$43</definedName>
    <definedName name="_xlnm.Print_Area" localSheetId="7">Debt!$A$1:$L$45</definedName>
    <definedName name="_xlnm.Print_Area" localSheetId="6">Equity!$A$1:$L$46</definedName>
    <definedName name="_xlnm.Print_Area" localSheetId="1">'Income Statement'!$A$1:$L$44</definedName>
    <definedName name="_xlnm.Print_Area" localSheetId="8">Interest!$A$1:$L$37</definedName>
    <definedName name="_xlnm.Print_Area" localSheetId="14">LBO!$A$1:$T$54</definedName>
    <definedName name="_xlnm.Print_Area" localSheetId="10">'M&amp;A Comps'!$A$1:$I$48</definedName>
    <definedName name="_xlnm.Print_Area" localSheetId="4">'PP&amp;E'!$A$1:$L$40</definedName>
    <definedName name="_xlnm.Print_Area" localSheetId="9">'Public Comps'!$A$1:$P$48</definedName>
    <definedName name="_xlnm.Print_Area" localSheetId="13">'Valuation Output'!$A$1:$N$28</definedName>
    <definedName name="_xlnm.Print_Area" localSheetId="11">WACC!$A$1:$G$43</definedName>
    <definedName name="_xlnm.Print_Area" localSheetId="5">'Working Capital'!$A$1:$L$42</definedName>
    <definedName name="wrn.3cases." localSheetId="11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</definedNames>
  <calcPr calcId="191029" iterate="1" iterateCount="100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25" i="17" l="1"/>
  <c r="G37" i="9"/>
  <c r="Z25" i="17"/>
  <c r="F25" i="17"/>
  <c r="E21" i="6"/>
  <c r="F18" i="6"/>
  <c r="F21" i="6"/>
  <c r="G18" i="6"/>
  <c r="G21" i="6"/>
  <c r="D25" i="17"/>
  <c r="G27" i="4"/>
  <c r="H26" i="4"/>
  <c r="H35" i="11"/>
  <c r="H10" i="1"/>
  <c r="I10" i="1"/>
  <c r="W25" i="17"/>
  <c r="U25" i="17"/>
  <c r="H25" i="17"/>
  <c r="F10" i="8"/>
  <c r="F11" i="8"/>
  <c r="F12" i="8"/>
  <c r="F14" i="8"/>
  <c r="F15" i="8"/>
  <c r="F16" i="8"/>
  <c r="F17" i="8"/>
  <c r="F19" i="8"/>
  <c r="E10" i="8"/>
  <c r="E11" i="8"/>
  <c r="E12" i="8"/>
  <c r="E14" i="8"/>
  <c r="E15" i="8"/>
  <c r="E16" i="8"/>
  <c r="E17" i="8"/>
  <c r="E19" i="8"/>
  <c r="F20" i="8"/>
  <c r="J10" i="1"/>
  <c r="K10" i="1"/>
  <c r="K14" i="1"/>
  <c r="K14" i="12"/>
  <c r="B15" i="12"/>
  <c r="K15" i="12"/>
  <c r="K16" i="12"/>
  <c r="K16" i="7"/>
  <c r="K12" i="7"/>
  <c r="K11" i="4"/>
  <c r="K18" i="12"/>
  <c r="K23" i="8"/>
  <c r="K10" i="8"/>
  <c r="K11" i="8"/>
  <c r="K12" i="8"/>
  <c r="K14" i="8"/>
  <c r="K15" i="8"/>
  <c r="K16" i="8"/>
  <c r="K17" i="8"/>
  <c r="K19" i="8"/>
  <c r="J23" i="8"/>
  <c r="J10" i="8"/>
  <c r="J11" i="8"/>
  <c r="J12" i="8"/>
  <c r="J14" i="8"/>
  <c r="J15" i="8"/>
  <c r="J16" i="8"/>
  <c r="J17" i="8"/>
  <c r="J19" i="8"/>
  <c r="K20" i="8"/>
  <c r="K12" i="4"/>
  <c r="K19" i="12"/>
  <c r="K11" i="7"/>
  <c r="K15" i="4"/>
  <c r="K20" i="12"/>
  <c r="K21" i="12"/>
  <c r="J14" i="1"/>
  <c r="J14" i="12"/>
  <c r="J15" i="12"/>
  <c r="J16" i="12"/>
  <c r="J16" i="7"/>
  <c r="J12" i="7"/>
  <c r="J11" i="4"/>
  <c r="J18" i="12"/>
  <c r="I23" i="8"/>
  <c r="I10" i="8"/>
  <c r="I11" i="8"/>
  <c r="I12" i="8"/>
  <c r="I14" i="8"/>
  <c r="I15" i="8"/>
  <c r="I16" i="8"/>
  <c r="I17" i="8"/>
  <c r="I19" i="8"/>
  <c r="J20" i="8"/>
  <c r="J12" i="4"/>
  <c r="J19" i="12"/>
  <c r="J11" i="7"/>
  <c r="J15" i="4"/>
  <c r="J20" i="12"/>
  <c r="J21" i="12"/>
  <c r="I14" i="1"/>
  <c r="I14" i="12"/>
  <c r="I15" i="12"/>
  <c r="I16" i="12"/>
  <c r="I16" i="7"/>
  <c r="I12" i="7"/>
  <c r="I11" i="4"/>
  <c r="I18" i="12"/>
  <c r="H23" i="8"/>
  <c r="H10" i="8"/>
  <c r="H11" i="8"/>
  <c r="H12" i="8"/>
  <c r="H14" i="8"/>
  <c r="H15" i="8"/>
  <c r="H16" i="8"/>
  <c r="H17" i="8"/>
  <c r="H19" i="8"/>
  <c r="I20" i="8"/>
  <c r="I12" i="4"/>
  <c r="I19" i="12"/>
  <c r="I11" i="7"/>
  <c r="I15" i="4"/>
  <c r="I20" i="12"/>
  <c r="I21" i="12"/>
  <c r="H14" i="1"/>
  <c r="H14" i="12"/>
  <c r="H15" i="12"/>
  <c r="H16" i="12"/>
  <c r="H16" i="7"/>
  <c r="H12" i="7"/>
  <c r="H11" i="4"/>
  <c r="H18" i="12"/>
  <c r="G10" i="8"/>
  <c r="G11" i="8"/>
  <c r="G12" i="8"/>
  <c r="G14" i="8"/>
  <c r="G15" i="8"/>
  <c r="G16" i="8"/>
  <c r="G17" i="8"/>
  <c r="G19" i="8"/>
  <c r="H20" i="8"/>
  <c r="H12" i="4"/>
  <c r="H19" i="12"/>
  <c r="H11" i="7"/>
  <c r="H15" i="4"/>
  <c r="H20" i="12"/>
  <c r="H21" i="12"/>
  <c r="L10" i="1"/>
  <c r="L14" i="1"/>
  <c r="L14" i="12"/>
  <c r="L15" i="12"/>
  <c r="L16" i="12"/>
  <c r="L16" i="7"/>
  <c r="L12" i="7"/>
  <c r="L11" i="4"/>
  <c r="L18" i="12"/>
  <c r="L23" i="8"/>
  <c r="L10" i="8"/>
  <c r="L11" i="8"/>
  <c r="L12" i="8"/>
  <c r="L14" i="8"/>
  <c r="L15" i="8"/>
  <c r="L16" i="8"/>
  <c r="L17" i="8"/>
  <c r="L19" i="8"/>
  <c r="L20" i="8"/>
  <c r="L12" i="4"/>
  <c r="L19" i="12"/>
  <c r="L11" i="7"/>
  <c r="L15" i="4"/>
  <c r="L20" i="12"/>
  <c r="L21" i="12"/>
  <c r="E23" i="8"/>
  <c r="E28" i="8"/>
  <c r="E27" i="8"/>
  <c r="E26" i="8"/>
  <c r="E25" i="8"/>
  <c r="E24" i="8"/>
  <c r="H18" i="6"/>
  <c r="H12" i="17"/>
  <c r="H13" i="17"/>
  <c r="H14" i="17"/>
  <c r="H15" i="17"/>
  <c r="H16" i="17"/>
  <c r="H17" i="17"/>
  <c r="H18" i="17"/>
  <c r="H19" i="17"/>
  <c r="H11" i="17"/>
  <c r="G14" i="1"/>
  <c r="E10" i="16"/>
  <c r="E16" i="16"/>
  <c r="T16" i="16"/>
  <c r="T21" i="16"/>
  <c r="J19" i="16"/>
  <c r="I19" i="16"/>
  <c r="H19" i="16"/>
  <c r="G19" i="16"/>
  <c r="F19" i="16"/>
  <c r="C13" i="19"/>
  <c r="V25" i="17"/>
  <c r="H22" i="17"/>
  <c r="H21" i="17"/>
  <c r="E13" i="2"/>
  <c r="E17" i="2"/>
  <c r="E22" i="2"/>
  <c r="E26" i="2"/>
  <c r="E29" i="2"/>
  <c r="E31" i="2"/>
  <c r="E37" i="2"/>
  <c r="E20" i="1"/>
  <c r="E14" i="1"/>
  <c r="E22" i="1"/>
  <c r="E25" i="1"/>
  <c r="E34" i="2"/>
  <c r="E36" i="2"/>
  <c r="E35" i="2"/>
  <c r="C13" i="16"/>
  <c r="P18" i="17"/>
  <c r="O18" i="17"/>
  <c r="E18" i="17"/>
  <c r="F18" i="17"/>
  <c r="G18" i="17"/>
  <c r="N18" i="17"/>
  <c r="M18" i="17"/>
  <c r="L18" i="17"/>
  <c r="K18" i="17"/>
  <c r="J18" i="17"/>
  <c r="I18" i="17"/>
  <c r="F25" i="16"/>
  <c r="G47" i="16"/>
  <c r="H47" i="16"/>
  <c r="I47" i="16"/>
  <c r="J47" i="16"/>
  <c r="G48" i="16"/>
  <c r="H48" i="16"/>
  <c r="I48" i="16"/>
  <c r="J48" i="16"/>
  <c r="J10" i="16"/>
  <c r="J16" i="16"/>
  <c r="T37" i="16"/>
  <c r="Q38" i="16"/>
  <c r="R38" i="16"/>
  <c r="S38" i="16"/>
  <c r="T38" i="16"/>
  <c r="T39" i="16"/>
  <c r="I10" i="16"/>
  <c r="I16" i="16"/>
  <c r="S37" i="16"/>
  <c r="S39" i="16"/>
  <c r="H10" i="16"/>
  <c r="H16" i="16"/>
  <c r="R37" i="16"/>
  <c r="R39" i="16"/>
  <c r="G10" i="16"/>
  <c r="G16" i="16"/>
  <c r="Q37" i="16"/>
  <c r="Q39" i="16"/>
  <c r="F10" i="16"/>
  <c r="F16" i="16"/>
  <c r="P37" i="16"/>
  <c r="P39" i="16"/>
  <c r="F38" i="16"/>
  <c r="T22" i="16"/>
  <c r="T31" i="16"/>
  <c r="T7" i="16"/>
  <c r="T9" i="16"/>
  <c r="T10" i="16"/>
  <c r="T11" i="16"/>
  <c r="T12" i="16"/>
  <c r="T13" i="16"/>
  <c r="T14" i="16"/>
  <c r="T26" i="16"/>
  <c r="T28" i="16"/>
  <c r="T29" i="16"/>
  <c r="S29" i="16"/>
  <c r="S28" i="16"/>
  <c r="S27" i="16"/>
  <c r="F26" i="16"/>
  <c r="F27" i="16"/>
  <c r="S26" i="16"/>
  <c r="T24" i="16"/>
  <c r="S24" i="16"/>
  <c r="T23" i="16"/>
  <c r="S23" i="16"/>
  <c r="S22" i="16"/>
  <c r="S21" i="16"/>
  <c r="J18" i="16"/>
  <c r="I18" i="16"/>
  <c r="H18" i="16"/>
  <c r="G18" i="16"/>
  <c r="F18" i="16"/>
  <c r="T17" i="16"/>
  <c r="J17" i="16"/>
  <c r="I17" i="16"/>
  <c r="H17" i="16"/>
  <c r="G17" i="16"/>
  <c r="F17" i="16"/>
  <c r="E11" i="16"/>
  <c r="E12" i="16"/>
  <c r="E13" i="16"/>
  <c r="E14" i="16"/>
  <c r="J8" i="16"/>
  <c r="J9" i="16"/>
  <c r="I8" i="16"/>
  <c r="I9" i="16"/>
  <c r="H8" i="16"/>
  <c r="H9" i="16"/>
  <c r="G8" i="16"/>
  <c r="G9" i="16"/>
  <c r="F8" i="16"/>
  <c r="F9" i="16"/>
  <c r="E8" i="16"/>
  <c r="E9" i="16"/>
  <c r="N24" i="13"/>
  <c r="L24" i="13"/>
  <c r="J24" i="13"/>
  <c r="G37" i="2"/>
  <c r="H24" i="13"/>
  <c r="F24" i="13"/>
  <c r="G9" i="19"/>
  <c r="G10" i="19"/>
  <c r="G11" i="19"/>
  <c r="G25" i="19"/>
  <c r="C16" i="19"/>
  <c r="E25" i="19"/>
  <c r="C15" i="19"/>
  <c r="C14" i="19"/>
  <c r="E26" i="19"/>
  <c r="E27" i="19"/>
  <c r="F25" i="19"/>
  <c r="G15" i="19"/>
  <c r="G16" i="19"/>
  <c r="G17" i="19"/>
  <c r="G18" i="19"/>
  <c r="G26" i="19"/>
  <c r="F26" i="19"/>
  <c r="G27" i="19"/>
  <c r="E23" i="12"/>
  <c r="H23" i="12"/>
  <c r="I23" i="12"/>
  <c r="J23" i="12"/>
  <c r="K23" i="12"/>
  <c r="L23" i="12"/>
  <c r="L24" i="12"/>
  <c r="L29" i="12"/>
  <c r="L31" i="4"/>
  <c r="L32" i="4"/>
  <c r="L42" i="9"/>
  <c r="L31" i="12"/>
  <c r="L33" i="12"/>
  <c r="L35" i="12"/>
  <c r="L37" i="12"/>
  <c r="F22" i="13"/>
  <c r="H22" i="13"/>
  <c r="J22" i="13"/>
  <c r="L22" i="13"/>
  <c r="N22" i="13"/>
  <c r="E29" i="12"/>
  <c r="E31" i="12"/>
  <c r="E33" i="12"/>
  <c r="E35" i="12"/>
  <c r="E37" i="12"/>
  <c r="F21" i="13"/>
  <c r="H21" i="13"/>
  <c r="J21" i="13"/>
  <c r="L21" i="13"/>
  <c r="N21" i="13"/>
  <c r="D17" i="13"/>
  <c r="F17" i="13"/>
  <c r="H17" i="13"/>
  <c r="J17" i="13"/>
  <c r="L17" i="13"/>
  <c r="N17" i="13"/>
  <c r="D16" i="13"/>
  <c r="F16" i="13"/>
  <c r="H16" i="13"/>
  <c r="J16" i="13"/>
  <c r="L16" i="13"/>
  <c r="N16" i="13"/>
  <c r="L12" i="13"/>
  <c r="H12" i="13"/>
  <c r="H31" i="4"/>
  <c r="H32" i="4"/>
  <c r="H42" i="9"/>
  <c r="D11" i="13"/>
  <c r="F11" i="13"/>
  <c r="H11" i="13"/>
  <c r="J11" i="13"/>
  <c r="L11" i="13"/>
  <c r="N11" i="13"/>
  <c r="D10" i="13"/>
  <c r="F10" i="13"/>
  <c r="H10" i="13"/>
  <c r="J10" i="13"/>
  <c r="L10" i="13"/>
  <c r="N10" i="13"/>
  <c r="L39" i="12"/>
  <c r="E39" i="12"/>
  <c r="L12" i="12"/>
  <c r="L13" i="12"/>
  <c r="K12" i="12"/>
  <c r="K13" i="12"/>
  <c r="J12" i="12"/>
  <c r="J13" i="12"/>
  <c r="I12" i="12"/>
  <c r="I13" i="12"/>
  <c r="H12" i="12"/>
  <c r="H13" i="12"/>
  <c r="F27" i="19"/>
  <c r="I11" i="18"/>
  <c r="I12" i="18"/>
  <c r="I13" i="18"/>
  <c r="I14" i="18"/>
  <c r="I15" i="18"/>
  <c r="I16" i="18"/>
  <c r="I17" i="18"/>
  <c r="I18" i="18"/>
  <c r="I21" i="18"/>
  <c r="H11" i="18"/>
  <c r="H12" i="18"/>
  <c r="H13" i="18"/>
  <c r="H14" i="18"/>
  <c r="H15" i="18"/>
  <c r="H16" i="18"/>
  <c r="H17" i="18"/>
  <c r="H18" i="18"/>
  <c r="H21" i="18"/>
  <c r="G11" i="18"/>
  <c r="G12" i="18"/>
  <c r="G13" i="18"/>
  <c r="G14" i="18"/>
  <c r="G15" i="18"/>
  <c r="G16" i="18"/>
  <c r="G17" i="18"/>
  <c r="G18" i="18"/>
  <c r="G21" i="18"/>
  <c r="F21" i="18"/>
  <c r="E21" i="18"/>
  <c r="D21" i="18"/>
  <c r="I20" i="18"/>
  <c r="H20" i="18"/>
  <c r="G20" i="18"/>
  <c r="F20" i="18"/>
  <c r="E20" i="18"/>
  <c r="D20" i="18"/>
  <c r="I31" i="4"/>
  <c r="I32" i="4"/>
  <c r="T25" i="17"/>
  <c r="S25" i="17"/>
  <c r="E25" i="17"/>
  <c r="G25" i="17"/>
  <c r="N25" i="17"/>
  <c r="M25" i="17"/>
  <c r="L25" i="17"/>
  <c r="K25" i="17"/>
  <c r="J25" i="17"/>
  <c r="I25" i="17"/>
  <c r="P11" i="17"/>
  <c r="P12" i="17"/>
  <c r="P13" i="17"/>
  <c r="P14" i="17"/>
  <c r="P15" i="17"/>
  <c r="P16" i="17"/>
  <c r="P17" i="17"/>
  <c r="P19" i="17"/>
  <c r="P22" i="17"/>
  <c r="O11" i="17"/>
  <c r="O12" i="17"/>
  <c r="O13" i="17"/>
  <c r="O14" i="17"/>
  <c r="O15" i="17"/>
  <c r="O16" i="17"/>
  <c r="O17" i="17"/>
  <c r="O19" i="17"/>
  <c r="O22" i="17"/>
  <c r="E11" i="17"/>
  <c r="F11" i="17"/>
  <c r="G11" i="17"/>
  <c r="N11" i="17"/>
  <c r="E12" i="17"/>
  <c r="F12" i="17"/>
  <c r="G12" i="17"/>
  <c r="N12" i="17"/>
  <c r="E13" i="17"/>
  <c r="F13" i="17"/>
  <c r="G13" i="17"/>
  <c r="N13" i="17"/>
  <c r="E14" i="17"/>
  <c r="F14" i="17"/>
  <c r="G14" i="17"/>
  <c r="N14" i="17"/>
  <c r="E15" i="17"/>
  <c r="F15" i="17"/>
  <c r="G15" i="17"/>
  <c r="N15" i="17"/>
  <c r="E16" i="17"/>
  <c r="F16" i="17"/>
  <c r="G16" i="17"/>
  <c r="N16" i="17"/>
  <c r="E17" i="17"/>
  <c r="F17" i="17"/>
  <c r="G17" i="17"/>
  <c r="N17" i="17"/>
  <c r="E19" i="17"/>
  <c r="F19" i="17"/>
  <c r="G19" i="17"/>
  <c r="N19" i="17"/>
  <c r="N22" i="17"/>
  <c r="M11" i="17"/>
  <c r="M12" i="17"/>
  <c r="M13" i="17"/>
  <c r="M14" i="17"/>
  <c r="M15" i="17"/>
  <c r="M16" i="17"/>
  <c r="M17" i="17"/>
  <c r="M19" i="17"/>
  <c r="M22" i="17"/>
  <c r="L11" i="17"/>
  <c r="L12" i="17"/>
  <c r="L13" i="17"/>
  <c r="L14" i="17"/>
  <c r="L15" i="17"/>
  <c r="L16" i="17"/>
  <c r="L17" i="17"/>
  <c r="L19" i="17"/>
  <c r="L22" i="17"/>
  <c r="K11" i="17"/>
  <c r="K12" i="17"/>
  <c r="K13" i="17"/>
  <c r="K14" i="17"/>
  <c r="K15" i="17"/>
  <c r="K16" i="17"/>
  <c r="K17" i="17"/>
  <c r="K19" i="17"/>
  <c r="K22" i="17"/>
  <c r="J11" i="17"/>
  <c r="J12" i="17"/>
  <c r="J13" i="17"/>
  <c r="J14" i="17"/>
  <c r="J15" i="17"/>
  <c r="J16" i="17"/>
  <c r="J17" i="17"/>
  <c r="J19" i="17"/>
  <c r="J22" i="17"/>
  <c r="I11" i="17"/>
  <c r="I12" i="17"/>
  <c r="I13" i="17"/>
  <c r="I14" i="17"/>
  <c r="I15" i="17"/>
  <c r="I16" i="17"/>
  <c r="I17" i="17"/>
  <c r="I19" i="17"/>
  <c r="I22" i="17"/>
  <c r="G22" i="17"/>
  <c r="F22" i="17"/>
  <c r="E22" i="17"/>
  <c r="P21" i="17"/>
  <c r="O21" i="17"/>
  <c r="N21" i="17"/>
  <c r="M21" i="17"/>
  <c r="L21" i="17"/>
  <c r="K21" i="17"/>
  <c r="J21" i="17"/>
  <c r="I21" i="17"/>
  <c r="G21" i="17"/>
  <c r="F21" i="17"/>
  <c r="E21" i="17"/>
  <c r="L30" i="9"/>
  <c r="K30" i="9"/>
  <c r="J30" i="9"/>
  <c r="I30" i="9"/>
  <c r="H30" i="9"/>
  <c r="H11" i="9"/>
  <c r="H36" i="9"/>
  <c r="I11" i="9"/>
  <c r="I36" i="9"/>
  <c r="J11" i="9"/>
  <c r="J36" i="9"/>
  <c r="K11" i="9"/>
  <c r="K36" i="9"/>
  <c r="L11" i="9"/>
  <c r="L36" i="9"/>
  <c r="L26" i="11"/>
  <c r="K26" i="11"/>
  <c r="J26" i="11"/>
  <c r="I26" i="11"/>
  <c r="H26" i="11"/>
  <c r="L24" i="11"/>
  <c r="K24" i="11"/>
  <c r="J24" i="11"/>
  <c r="I24" i="11"/>
  <c r="H24" i="11"/>
  <c r="H10" i="9"/>
  <c r="H23" i="11"/>
  <c r="L11" i="11"/>
  <c r="L19" i="11"/>
  <c r="K11" i="11"/>
  <c r="K19" i="11"/>
  <c r="J11" i="11"/>
  <c r="J19" i="11"/>
  <c r="I11" i="11"/>
  <c r="I19" i="11"/>
  <c r="H11" i="11"/>
  <c r="H19" i="11"/>
  <c r="K31" i="4"/>
  <c r="K32" i="4"/>
  <c r="K42" i="9"/>
  <c r="J31" i="4"/>
  <c r="J32" i="4"/>
  <c r="J42" i="9"/>
  <c r="I42" i="9"/>
  <c r="L41" i="9"/>
  <c r="K41" i="9"/>
  <c r="J41" i="9"/>
  <c r="I41" i="9"/>
  <c r="H41" i="9"/>
  <c r="L20" i="9"/>
  <c r="K20" i="9"/>
  <c r="J20" i="9"/>
  <c r="I20" i="9"/>
  <c r="H20" i="9"/>
  <c r="L16" i="4"/>
  <c r="L18" i="9"/>
  <c r="K16" i="4"/>
  <c r="K18" i="9"/>
  <c r="J16" i="4"/>
  <c r="J18" i="9"/>
  <c r="I16" i="4"/>
  <c r="I18" i="9"/>
  <c r="H16" i="4"/>
  <c r="H18" i="9"/>
  <c r="H16" i="9"/>
  <c r="H12" i="9"/>
  <c r="G39" i="6"/>
  <c r="G40" i="6"/>
  <c r="G30" i="6"/>
  <c r="G31" i="6"/>
  <c r="G44" i="6"/>
  <c r="F39" i="6"/>
  <c r="F40" i="6"/>
  <c r="F30" i="6"/>
  <c r="F31" i="6"/>
  <c r="F44" i="6"/>
  <c r="E39" i="6"/>
  <c r="E40" i="6"/>
  <c r="E30" i="6"/>
  <c r="E31" i="6"/>
  <c r="E44" i="6"/>
  <c r="G20" i="1"/>
  <c r="G22" i="1"/>
  <c r="G25" i="1"/>
  <c r="G25" i="6"/>
  <c r="G26" i="6"/>
  <c r="G35" i="6"/>
  <c r="F14" i="1"/>
  <c r="F20" i="1"/>
  <c r="F22" i="1"/>
  <c r="F25" i="1"/>
  <c r="F25" i="6"/>
  <c r="F26" i="6"/>
  <c r="F35" i="6"/>
  <c r="E25" i="6"/>
  <c r="E26" i="6"/>
  <c r="E35" i="6"/>
  <c r="G14" i="6"/>
  <c r="L13" i="6"/>
  <c r="K13" i="6"/>
  <c r="J13" i="6"/>
  <c r="I13" i="6"/>
  <c r="H13" i="6"/>
  <c r="H10" i="6"/>
  <c r="G23" i="8"/>
  <c r="G28" i="8"/>
  <c r="F23" i="8"/>
  <c r="F28" i="8"/>
  <c r="G27" i="8"/>
  <c r="F27" i="8"/>
  <c r="G26" i="8"/>
  <c r="F26" i="8"/>
  <c r="G25" i="8"/>
  <c r="F25" i="8"/>
  <c r="G24" i="8"/>
  <c r="F24" i="8"/>
  <c r="G20" i="8"/>
  <c r="G16" i="7"/>
  <c r="G18" i="7"/>
  <c r="F16" i="7"/>
  <c r="F18" i="7"/>
  <c r="E16" i="7"/>
  <c r="E18" i="7"/>
  <c r="G17" i="7"/>
  <c r="F17" i="7"/>
  <c r="E17" i="7"/>
  <c r="G13" i="7"/>
  <c r="H10" i="7"/>
  <c r="H13" i="7"/>
  <c r="I10" i="7"/>
  <c r="I13" i="7"/>
  <c r="J10" i="7"/>
  <c r="J13" i="7"/>
  <c r="K10" i="7"/>
  <c r="K13" i="7"/>
  <c r="L10" i="7"/>
  <c r="L13" i="7"/>
  <c r="L21" i="4"/>
  <c r="K21" i="4"/>
  <c r="J21" i="4"/>
  <c r="I21" i="4"/>
  <c r="H21" i="4"/>
  <c r="L19" i="4"/>
  <c r="K19" i="4"/>
  <c r="J19" i="4"/>
  <c r="I19" i="4"/>
  <c r="H19" i="4"/>
  <c r="F37" i="2"/>
  <c r="G34" i="2"/>
  <c r="G36" i="2"/>
  <c r="F34" i="2"/>
  <c r="F36" i="2"/>
  <c r="G22" i="2"/>
  <c r="G35" i="2"/>
  <c r="F22" i="2"/>
  <c r="F35" i="2"/>
  <c r="G26" i="2"/>
  <c r="G29" i="2"/>
  <c r="G13" i="2"/>
  <c r="G17" i="2"/>
  <c r="G31" i="2"/>
  <c r="F26" i="2"/>
  <c r="F29" i="2"/>
  <c r="F13" i="2"/>
  <c r="F17" i="2"/>
  <c r="F31" i="2"/>
  <c r="L19" i="2"/>
  <c r="L20" i="2"/>
  <c r="L21" i="2"/>
  <c r="L22" i="2"/>
  <c r="K19" i="2"/>
  <c r="K20" i="2"/>
  <c r="K21" i="2"/>
  <c r="K22" i="2"/>
  <c r="J19" i="2"/>
  <c r="J20" i="2"/>
  <c r="J21" i="2"/>
  <c r="J22" i="2"/>
  <c r="I19" i="2"/>
  <c r="I20" i="2"/>
  <c r="I21" i="2"/>
  <c r="I22" i="2"/>
  <c r="H19" i="2"/>
  <c r="H20" i="2"/>
  <c r="H21" i="2"/>
  <c r="H22" i="2"/>
  <c r="L15" i="2"/>
  <c r="K15" i="2"/>
  <c r="J15" i="2"/>
  <c r="I15" i="2"/>
  <c r="H15" i="2"/>
  <c r="L12" i="2"/>
  <c r="K12" i="2"/>
  <c r="J12" i="2"/>
  <c r="I12" i="2"/>
  <c r="H12" i="2"/>
  <c r="L11" i="2"/>
  <c r="K11" i="2"/>
  <c r="J11" i="2"/>
  <c r="I11" i="2"/>
  <c r="H11" i="2"/>
  <c r="G29" i="1"/>
  <c r="F29" i="1"/>
  <c r="E29" i="1"/>
  <c r="G26" i="1"/>
  <c r="F26" i="1"/>
  <c r="E26" i="1"/>
  <c r="G15" i="1"/>
  <c r="F15" i="1"/>
  <c r="E15" i="1"/>
  <c r="L13" i="1"/>
  <c r="K13" i="1"/>
  <c r="J13" i="1"/>
  <c r="I13" i="1"/>
  <c r="H13" i="1"/>
  <c r="G11" i="1"/>
  <c r="F11" i="1"/>
  <c r="F34" i="16"/>
  <c r="F44" i="16"/>
  <c r="F52" i="16"/>
  <c r="G26" i="16"/>
  <c r="G34" i="16"/>
  <c r="G44" i="16"/>
  <c r="G52" i="16"/>
  <c r="H26" i="16"/>
  <c r="H34" i="16"/>
  <c r="H44" i="16"/>
  <c r="H52" i="16"/>
  <c r="I26" i="16"/>
  <c r="I34" i="16"/>
  <c r="I44" i="16"/>
  <c r="I52" i="16"/>
  <c r="J26" i="16"/>
  <c r="J34" i="16"/>
  <c r="J44" i="16"/>
  <c r="J52" i="16"/>
  <c r="H10" i="2"/>
  <c r="I10" i="2"/>
  <c r="J10" i="2"/>
  <c r="K10" i="2"/>
  <c r="L10" i="2"/>
  <c r="H13" i="2"/>
  <c r="I13" i="2"/>
  <c r="J13" i="2"/>
  <c r="K13" i="2"/>
  <c r="L13" i="2"/>
  <c r="H17" i="2"/>
  <c r="I17" i="2"/>
  <c r="J17" i="2"/>
  <c r="K17" i="2"/>
  <c r="L17" i="2"/>
  <c r="H24" i="2"/>
  <c r="I24" i="2"/>
  <c r="J24" i="2"/>
  <c r="K24" i="2"/>
  <c r="L24" i="2"/>
  <c r="H26" i="2"/>
  <c r="I26" i="2"/>
  <c r="J26" i="2"/>
  <c r="K26" i="2"/>
  <c r="L26" i="2"/>
  <c r="H28" i="2"/>
  <c r="I28" i="2"/>
  <c r="J28" i="2"/>
  <c r="K28" i="2"/>
  <c r="L28" i="2"/>
  <c r="H29" i="2"/>
  <c r="I29" i="2"/>
  <c r="J29" i="2"/>
  <c r="K29" i="2"/>
  <c r="L29" i="2"/>
  <c r="H31" i="2"/>
  <c r="I31" i="2"/>
  <c r="J31" i="2"/>
  <c r="K31" i="2"/>
  <c r="L31" i="2"/>
  <c r="H34" i="2"/>
  <c r="I34" i="2"/>
  <c r="J34" i="2"/>
  <c r="K34" i="2"/>
  <c r="L34" i="2"/>
  <c r="H35" i="2"/>
  <c r="I35" i="2"/>
  <c r="J35" i="2"/>
  <c r="K35" i="2"/>
  <c r="L35" i="2"/>
  <c r="H36" i="2"/>
  <c r="I36" i="2"/>
  <c r="J36" i="2"/>
  <c r="K36" i="2"/>
  <c r="L36" i="2"/>
  <c r="H37" i="2"/>
  <c r="I37" i="2"/>
  <c r="J37" i="2"/>
  <c r="K37" i="2"/>
  <c r="L37" i="2"/>
  <c r="H10" i="4"/>
  <c r="I10" i="4"/>
  <c r="J10" i="4"/>
  <c r="K10" i="4"/>
  <c r="L10" i="4"/>
  <c r="H13" i="4"/>
  <c r="I13" i="4"/>
  <c r="J13" i="4"/>
  <c r="K13" i="4"/>
  <c r="L13" i="4"/>
  <c r="H18" i="4"/>
  <c r="I18" i="4"/>
  <c r="J18" i="4"/>
  <c r="K18" i="4"/>
  <c r="L18" i="4"/>
  <c r="H20" i="4"/>
  <c r="I20" i="4"/>
  <c r="J20" i="4"/>
  <c r="K20" i="4"/>
  <c r="L20" i="4"/>
  <c r="H22" i="4"/>
  <c r="I22" i="4"/>
  <c r="J22" i="4"/>
  <c r="K22" i="4"/>
  <c r="L22" i="4"/>
  <c r="H24" i="4"/>
  <c r="I24" i="4"/>
  <c r="J24" i="4"/>
  <c r="K24" i="4"/>
  <c r="L24" i="4"/>
  <c r="I26" i="4"/>
  <c r="J26" i="4"/>
  <c r="K26" i="4"/>
  <c r="L26" i="4"/>
  <c r="H27" i="4"/>
  <c r="I27" i="4"/>
  <c r="J27" i="4"/>
  <c r="K27" i="4"/>
  <c r="L27" i="4"/>
  <c r="H30" i="4"/>
  <c r="I30" i="4"/>
  <c r="J30" i="4"/>
  <c r="K30" i="4"/>
  <c r="L30" i="4"/>
  <c r="I10" i="9"/>
  <c r="J10" i="9"/>
  <c r="K10" i="9"/>
  <c r="L10" i="9"/>
  <c r="I12" i="9"/>
  <c r="J12" i="9"/>
  <c r="K12" i="9"/>
  <c r="L12" i="9"/>
  <c r="I16" i="9"/>
  <c r="J16" i="9"/>
  <c r="K16" i="9"/>
  <c r="L16" i="9"/>
  <c r="H17" i="9"/>
  <c r="I17" i="9"/>
  <c r="J17" i="9"/>
  <c r="K17" i="9"/>
  <c r="L17" i="9"/>
  <c r="H19" i="9"/>
  <c r="I19" i="9"/>
  <c r="J19" i="9"/>
  <c r="K19" i="9"/>
  <c r="L19" i="9"/>
  <c r="H23" i="9"/>
  <c r="I23" i="9"/>
  <c r="J23" i="9"/>
  <c r="K23" i="9"/>
  <c r="L23" i="9"/>
  <c r="H25" i="9"/>
  <c r="I25" i="9"/>
  <c r="J25" i="9"/>
  <c r="K25" i="9"/>
  <c r="L25" i="9"/>
  <c r="H27" i="9"/>
  <c r="I27" i="9"/>
  <c r="J27" i="9"/>
  <c r="K27" i="9"/>
  <c r="L27" i="9"/>
  <c r="H29" i="9"/>
  <c r="I29" i="9"/>
  <c r="J29" i="9"/>
  <c r="K29" i="9"/>
  <c r="L29" i="9"/>
  <c r="H31" i="9"/>
  <c r="I31" i="9"/>
  <c r="J31" i="9"/>
  <c r="K31" i="9"/>
  <c r="L31" i="9"/>
  <c r="H35" i="9"/>
  <c r="I35" i="9"/>
  <c r="J35" i="9"/>
  <c r="K35" i="9"/>
  <c r="L35" i="9"/>
  <c r="H37" i="9"/>
  <c r="I37" i="9"/>
  <c r="J37" i="9"/>
  <c r="K37" i="9"/>
  <c r="L37" i="9"/>
  <c r="H40" i="9"/>
  <c r="I40" i="9"/>
  <c r="J40" i="9"/>
  <c r="K40" i="9"/>
  <c r="L40" i="9"/>
  <c r="H43" i="9"/>
  <c r="I43" i="9"/>
  <c r="J43" i="9"/>
  <c r="K43" i="9"/>
  <c r="L43" i="9"/>
  <c r="H44" i="9"/>
  <c r="I44" i="9"/>
  <c r="J44" i="9"/>
  <c r="K44" i="9"/>
  <c r="L44" i="9"/>
  <c r="H45" i="9"/>
  <c r="I45" i="9"/>
  <c r="J45" i="9"/>
  <c r="K45" i="9"/>
  <c r="L45" i="9"/>
  <c r="I10" i="6"/>
  <c r="J10" i="6"/>
  <c r="K10" i="6"/>
  <c r="L10" i="6"/>
  <c r="H11" i="6"/>
  <c r="I11" i="6"/>
  <c r="J11" i="6"/>
  <c r="K11" i="6"/>
  <c r="L11" i="6"/>
  <c r="H12" i="6"/>
  <c r="I12" i="6"/>
  <c r="J12" i="6"/>
  <c r="K12" i="6"/>
  <c r="L12" i="6"/>
  <c r="H14" i="6"/>
  <c r="I14" i="6"/>
  <c r="J14" i="6"/>
  <c r="K14" i="6"/>
  <c r="L14" i="6"/>
  <c r="I18" i="6"/>
  <c r="J18" i="6"/>
  <c r="K18" i="6"/>
  <c r="L18" i="6"/>
  <c r="H19" i="6"/>
  <c r="I19" i="6"/>
  <c r="J19" i="6"/>
  <c r="K19" i="6"/>
  <c r="L19" i="6"/>
  <c r="H21" i="6"/>
  <c r="I21" i="6"/>
  <c r="J21" i="6"/>
  <c r="K21" i="6"/>
  <c r="L21" i="6"/>
  <c r="H24" i="6"/>
  <c r="I24" i="6"/>
  <c r="J24" i="6"/>
  <c r="K24" i="6"/>
  <c r="L24" i="6"/>
  <c r="H25" i="6"/>
  <c r="I25" i="6"/>
  <c r="J25" i="6"/>
  <c r="K25" i="6"/>
  <c r="L25" i="6"/>
  <c r="H26" i="6"/>
  <c r="I26" i="6"/>
  <c r="J26" i="6"/>
  <c r="K26" i="6"/>
  <c r="L26" i="6"/>
  <c r="H30" i="6"/>
  <c r="I30" i="6"/>
  <c r="J30" i="6"/>
  <c r="K30" i="6"/>
  <c r="L30" i="6"/>
  <c r="H31" i="6"/>
  <c r="I31" i="6"/>
  <c r="J31" i="6"/>
  <c r="K31" i="6"/>
  <c r="L31" i="6"/>
  <c r="H39" i="6"/>
  <c r="I39" i="6"/>
  <c r="J39" i="6"/>
  <c r="K39" i="6"/>
  <c r="L39" i="6"/>
  <c r="H41" i="6"/>
  <c r="I41" i="6"/>
  <c r="J41" i="6"/>
  <c r="K41" i="6"/>
  <c r="L41" i="6"/>
  <c r="H44" i="6"/>
  <c r="I44" i="6"/>
  <c r="J44" i="6"/>
  <c r="K44" i="6"/>
  <c r="L44" i="6"/>
  <c r="H17" i="1"/>
  <c r="I17" i="1"/>
  <c r="J17" i="1"/>
  <c r="K17" i="1"/>
  <c r="L17" i="1"/>
  <c r="H18" i="1"/>
  <c r="I18" i="1"/>
  <c r="J18" i="1"/>
  <c r="K18" i="1"/>
  <c r="L18" i="1"/>
  <c r="H20" i="1"/>
  <c r="I20" i="1"/>
  <c r="J20" i="1"/>
  <c r="K20" i="1"/>
  <c r="L20" i="1"/>
  <c r="H22" i="1"/>
  <c r="I22" i="1"/>
  <c r="J22" i="1"/>
  <c r="K22" i="1"/>
  <c r="L22" i="1"/>
  <c r="H24" i="1"/>
  <c r="I24" i="1"/>
  <c r="J24" i="1"/>
  <c r="K24" i="1"/>
  <c r="L24" i="1"/>
  <c r="H25" i="1"/>
  <c r="I25" i="1"/>
  <c r="J25" i="1"/>
  <c r="K25" i="1"/>
  <c r="L25" i="1"/>
  <c r="H26" i="1"/>
  <c r="I26" i="1"/>
  <c r="J26" i="1"/>
  <c r="K26" i="1"/>
  <c r="L26" i="1"/>
  <c r="H10" i="11"/>
  <c r="I10" i="11"/>
  <c r="J10" i="11"/>
  <c r="K10" i="11"/>
  <c r="L10" i="11"/>
  <c r="H12" i="11"/>
  <c r="I12" i="11"/>
  <c r="J12" i="11"/>
  <c r="K12" i="11"/>
  <c r="L12" i="11"/>
  <c r="H16" i="11"/>
  <c r="I16" i="11"/>
  <c r="J16" i="11"/>
  <c r="K16" i="11"/>
  <c r="L16" i="11"/>
  <c r="H18" i="11"/>
  <c r="I18" i="11"/>
  <c r="J18" i="11"/>
  <c r="K18" i="11"/>
  <c r="L18" i="11"/>
  <c r="H20" i="11"/>
  <c r="I20" i="11"/>
  <c r="J20" i="11"/>
  <c r="K20" i="11"/>
  <c r="L20" i="11"/>
  <c r="I23" i="11"/>
  <c r="J23" i="11"/>
  <c r="K23" i="11"/>
  <c r="L23" i="11"/>
  <c r="H25" i="11"/>
  <c r="I25" i="11"/>
  <c r="J25" i="11"/>
  <c r="K25" i="11"/>
  <c r="L25" i="11"/>
  <c r="H30" i="11"/>
  <c r="I30" i="11"/>
  <c r="J30" i="11"/>
  <c r="K30" i="11"/>
  <c r="L30" i="11"/>
  <c r="H32" i="11"/>
  <c r="I32" i="11"/>
  <c r="J32" i="11"/>
  <c r="K32" i="11"/>
  <c r="L32" i="11"/>
  <c r="I35" i="11"/>
  <c r="J35" i="11"/>
  <c r="K35" i="11"/>
  <c r="L35" i="11"/>
  <c r="H36" i="11"/>
  <c r="I36" i="11"/>
  <c r="J36" i="11"/>
  <c r="K36" i="11"/>
  <c r="L36" i="11"/>
  <c r="F11" i="16"/>
  <c r="G11" i="16"/>
  <c r="H11" i="16"/>
  <c r="I11" i="16"/>
  <c r="J11" i="16"/>
  <c r="F12" i="16"/>
  <c r="G12" i="16"/>
  <c r="H12" i="16"/>
  <c r="I12" i="16"/>
  <c r="J12" i="16"/>
  <c r="F13" i="16"/>
  <c r="G13" i="16"/>
  <c r="H13" i="16"/>
  <c r="I13" i="16"/>
  <c r="J13" i="16"/>
  <c r="F14" i="16"/>
  <c r="G14" i="16"/>
  <c r="H14" i="16"/>
  <c r="I14" i="16"/>
  <c r="J14" i="16"/>
  <c r="F20" i="16"/>
  <c r="G20" i="16"/>
  <c r="H20" i="16"/>
  <c r="I20" i="16"/>
  <c r="J20" i="16"/>
  <c r="F21" i="16"/>
  <c r="G21" i="16"/>
  <c r="H21" i="16"/>
  <c r="I21" i="16"/>
  <c r="J21" i="16"/>
  <c r="F22" i="16"/>
  <c r="G22" i="16"/>
  <c r="H22" i="16"/>
  <c r="I22" i="16"/>
  <c r="J22" i="16"/>
  <c r="G25" i="16"/>
  <c r="H25" i="16"/>
  <c r="I25" i="16"/>
  <c r="J25" i="16"/>
  <c r="G27" i="16"/>
  <c r="H27" i="16"/>
  <c r="I27" i="16"/>
  <c r="J27" i="16"/>
  <c r="F29" i="16"/>
  <c r="G29" i="16"/>
  <c r="H29" i="16"/>
  <c r="I29" i="16"/>
  <c r="J29" i="16"/>
  <c r="F31" i="16"/>
  <c r="G31" i="16"/>
  <c r="H31" i="16"/>
  <c r="I31" i="16"/>
  <c r="J31" i="16"/>
  <c r="F33" i="16"/>
  <c r="G33" i="16"/>
  <c r="H33" i="16"/>
  <c r="I33" i="16"/>
  <c r="J33" i="16"/>
  <c r="F35" i="16"/>
  <c r="G35" i="16"/>
  <c r="H35" i="16"/>
  <c r="I35" i="16"/>
  <c r="J35" i="16"/>
  <c r="G38" i="16"/>
  <c r="H38" i="16"/>
  <c r="I38" i="16"/>
  <c r="J38" i="16"/>
  <c r="F39" i="16"/>
  <c r="G39" i="16"/>
  <c r="H39" i="16"/>
  <c r="I39" i="16"/>
  <c r="J39" i="16"/>
  <c r="F40" i="16"/>
  <c r="G40" i="16"/>
  <c r="H40" i="16"/>
  <c r="I40" i="16"/>
  <c r="J40" i="16"/>
  <c r="P41" i="16"/>
  <c r="Q41" i="16"/>
  <c r="R41" i="16"/>
  <c r="S41" i="16"/>
  <c r="T41" i="16"/>
  <c r="P42" i="16"/>
  <c r="Q42" i="16"/>
  <c r="R42" i="16"/>
  <c r="S42" i="16"/>
  <c r="T42" i="16"/>
  <c r="F43" i="16"/>
  <c r="G43" i="16"/>
  <c r="H43" i="16"/>
  <c r="I43" i="16"/>
  <c r="J43" i="16"/>
  <c r="P43" i="16"/>
  <c r="Q43" i="16"/>
  <c r="R43" i="16"/>
  <c r="S43" i="16"/>
  <c r="T43" i="16"/>
  <c r="F45" i="16"/>
  <c r="G45" i="16"/>
  <c r="H45" i="16"/>
  <c r="I45" i="16"/>
  <c r="J45" i="16"/>
  <c r="P45" i="16"/>
  <c r="Q45" i="16"/>
  <c r="R45" i="16"/>
  <c r="S45" i="16"/>
  <c r="T45" i="16"/>
  <c r="P47" i="16"/>
  <c r="Q47" i="16"/>
  <c r="R47" i="16"/>
  <c r="S47" i="16"/>
  <c r="T47" i="16"/>
  <c r="P48" i="16"/>
  <c r="Q48" i="16"/>
  <c r="R48" i="16"/>
  <c r="S48" i="16"/>
  <c r="T48" i="16"/>
  <c r="F49" i="16"/>
  <c r="G49" i="16"/>
  <c r="H49" i="16"/>
  <c r="I49" i="16"/>
  <c r="J49" i="16"/>
  <c r="F51" i="16"/>
  <c r="G51" i="16"/>
  <c r="H51" i="16"/>
  <c r="I51" i="16"/>
  <c r="J51" i="16"/>
  <c r="P52" i="16"/>
  <c r="Q52" i="16"/>
  <c r="R52" i="16"/>
  <c r="S52" i="16"/>
  <c r="T52" i="16"/>
  <c r="F53" i="16"/>
  <c r="G53" i="16"/>
  <c r="H53" i="16"/>
  <c r="I53" i="16"/>
  <c r="J53" i="16"/>
  <c r="P53" i="16"/>
  <c r="Q53" i="16"/>
  <c r="R53" i="16"/>
  <c r="S53" i="16"/>
  <c r="T53" i="16"/>
  <c r="O25" i="17"/>
  <c r="P25" i="17"/>
  <c r="X25" i="17"/>
  <c r="Y25" i="17"/>
  <c r="D12" i="13"/>
  <c r="F12" i="13"/>
  <c r="J12" i="13"/>
  <c r="N12" i="13"/>
</calcChain>
</file>

<file path=xl/sharedStrings.xml><?xml version="1.0" encoding="utf-8"?>
<sst xmlns="http://schemas.openxmlformats.org/spreadsheetml/2006/main" count="711" uniqueCount="427">
  <si>
    <t>Terms of Use</t>
  </si>
  <si>
    <t>Product protected by copyright</t>
  </si>
  <si>
    <t>This document subject to the Terms of Use</t>
  </si>
  <si>
    <t>Income Statement ($ in Millions)</t>
  </si>
  <si>
    <t>2019E</t>
  </si>
  <si>
    <t>2020E</t>
  </si>
  <si>
    <t>Instructions:</t>
  </si>
  <si>
    <t>Income Statement</t>
  </si>
  <si>
    <t>Revenue</t>
  </si>
  <si>
    <t>Previous Year's Revenue x (1 + Growth Rate)</t>
  </si>
  <si>
    <t>% Growth</t>
  </si>
  <si>
    <t>Revenue / Previous Year's Revenue - 1</t>
  </si>
  <si>
    <t>Operating Expenses</t>
  </si>
  <si>
    <t>Interest Expense</t>
  </si>
  <si>
    <t>Step 10: Link into the Interest Expense Schedule</t>
  </si>
  <si>
    <t>Total Other Expenses</t>
  </si>
  <si>
    <t>Earnings Before Taxes</t>
  </si>
  <si>
    <t>Operating Income - Total Other Expenses</t>
  </si>
  <si>
    <t>Corporate Taxes</t>
  </si>
  <si>
    <t>Earnings Before Taxes x Corporate Tax Rate</t>
  </si>
  <si>
    <t>Net Earnings</t>
  </si>
  <si>
    <t>Earnings Before Taxes - Corporate Taxes</t>
  </si>
  <si>
    <t>Net Earnings / Revenue</t>
  </si>
  <si>
    <t>Metrics &amp; Drivers</t>
  </si>
  <si>
    <t>Corporate Tax Rate</t>
  </si>
  <si>
    <t>Corporate Taxes / Earnings before Taxes</t>
  </si>
  <si>
    <t>Balance Sheet ($ in Millions)</t>
  </si>
  <si>
    <t>Balance Sheet</t>
  </si>
  <si>
    <t>Cash and Cash Equivalents</t>
  </si>
  <si>
    <t>Step 6: Link into the Cash Flow Statement</t>
  </si>
  <si>
    <t>Accounts Receivable</t>
  </si>
  <si>
    <t>Step 7: Link into the Working Capital Schedule</t>
  </si>
  <si>
    <t>Other Current Assets</t>
  </si>
  <si>
    <t>Total Current Assets</t>
  </si>
  <si>
    <t>Other Long-Term Assets</t>
  </si>
  <si>
    <t>Total Assets</t>
  </si>
  <si>
    <t>Other Current Liabilities</t>
  </si>
  <si>
    <t>Total Current Liabilities</t>
  </si>
  <si>
    <t>Total Debt</t>
  </si>
  <si>
    <t>Step 9: Link into the Debt Schedule</t>
  </si>
  <si>
    <t>Other Long-Term Liabilities</t>
  </si>
  <si>
    <t>Total Liabilities</t>
  </si>
  <si>
    <t>Shareholders' Equity</t>
  </si>
  <si>
    <t>Step 8: Link into the Equity Schedule</t>
  </si>
  <si>
    <t>Total Liabilities and Equity</t>
  </si>
  <si>
    <t>check</t>
  </si>
  <si>
    <t>Total Assets - Total Liabilities &amp; Equity</t>
  </si>
  <si>
    <t>Link to the Income Statement</t>
  </si>
  <si>
    <t>Cash Ratio</t>
  </si>
  <si>
    <t>Return on Equity</t>
  </si>
  <si>
    <t>Net Debt</t>
  </si>
  <si>
    <t>Cash Flow Statement ($ in Millions)</t>
  </si>
  <si>
    <t>Cash Flow Statement</t>
  </si>
  <si>
    <t>Step 8: Link into the Income Statement</t>
  </si>
  <si>
    <t>Depreciation</t>
  </si>
  <si>
    <t>Change in Working Capital</t>
  </si>
  <si>
    <t>Cash From Operating Activities</t>
  </si>
  <si>
    <t>Capital Expenditures</t>
  </si>
  <si>
    <t>Cash From Investing Activities</t>
  </si>
  <si>
    <t>Dividends</t>
  </si>
  <si>
    <t>Share Repurchases</t>
  </si>
  <si>
    <t>Cash From Financing Activities</t>
  </si>
  <si>
    <t>Change in Cash</t>
  </si>
  <si>
    <t xml:space="preserve">Beginning Cash </t>
  </si>
  <si>
    <t>Ending Cash</t>
  </si>
  <si>
    <t>Cash Flow from Operating Activities - Capital Expenditures</t>
  </si>
  <si>
    <t>EBITDA</t>
  </si>
  <si>
    <t>Beginning Balance</t>
  </si>
  <si>
    <t>Link into the Balance Sheet</t>
  </si>
  <si>
    <t>Plus: Capital Expenditures</t>
  </si>
  <si>
    <t>Revenue x Capital Expenditures as a % Revenue</t>
  </si>
  <si>
    <t>Less: Depreciation</t>
  </si>
  <si>
    <t>Revenue x Depreciation as a % Revenue</t>
  </si>
  <si>
    <t>Link into the Income Statement</t>
  </si>
  <si>
    <t>Capital Expenditures as a % Revenue</t>
  </si>
  <si>
    <t>Capital Expenditures / Revenue</t>
  </si>
  <si>
    <t>Depreciation as a % Revenue</t>
  </si>
  <si>
    <t>Depreciation / Revenue</t>
  </si>
  <si>
    <t>Working Capital Schedule ($ in Millions)</t>
  </si>
  <si>
    <t>Working Capital Schedule</t>
  </si>
  <si>
    <t>Days Receivable x Revenue / Days</t>
  </si>
  <si>
    <t>Revenue x Other Current Assets as a % of Revenue</t>
  </si>
  <si>
    <t>Non-Cash Current Assets</t>
  </si>
  <si>
    <t>Non-Debt Current Liabilities</t>
  </si>
  <si>
    <t>Working Capital</t>
  </si>
  <si>
    <t>Non-Cash Current Assets - Non-Debt Current Liabilities</t>
  </si>
  <si>
    <t>Current Year's Working Capital - Previous Year's Working Capital</t>
  </si>
  <si>
    <t>Days Receivable</t>
  </si>
  <si>
    <t>Other Current Assets as a % Revenue</t>
  </si>
  <si>
    <t>Other Current Assets / Revenue</t>
  </si>
  <si>
    <t>Other Current Liabilities as a % Revenue</t>
  </si>
  <si>
    <t>Other Current Liabilities / Revenue</t>
  </si>
  <si>
    <t>Days</t>
  </si>
  <si>
    <t>Equity Schedule ($ in Millions)</t>
  </si>
  <si>
    <t>Equity Schedule</t>
  </si>
  <si>
    <t>Plus: Net Earnings</t>
  </si>
  <si>
    <t>Less: Dividends</t>
  </si>
  <si>
    <t>Link into the Dividend Schedule</t>
  </si>
  <si>
    <t>Less: Share Repurchases</t>
  </si>
  <si>
    <t>Common Stock Schedule</t>
  </si>
  <si>
    <t>Basic Earnings per Share</t>
  </si>
  <si>
    <t>Net Earnings / Average Common Shares Outstanding</t>
  </si>
  <si>
    <t>Share Repurchases Schedule</t>
  </si>
  <si>
    <t>x Average Price Paid per Share</t>
  </si>
  <si>
    <t>Dividends Schedule</t>
  </si>
  <si>
    <t>Link to row 24</t>
  </si>
  <si>
    <t>x Dividends per Share</t>
  </si>
  <si>
    <t>Dividend Yield</t>
  </si>
  <si>
    <t>Dividend per Share / Average Price Paid per Share</t>
  </si>
  <si>
    <t>Debt Schedule ($ in Millions)</t>
  </si>
  <si>
    <t>Debt Schedule</t>
  </si>
  <si>
    <t>Link to the Cash Flow Statement</t>
  </si>
  <si>
    <t>Link to the Balance Sheet</t>
  </si>
  <si>
    <t>Debt / EBITDA</t>
  </si>
  <si>
    <t>Debt-to-Equity Ratio</t>
  </si>
  <si>
    <t>Beginning Cash Balance</t>
  </si>
  <si>
    <t>Link into the Cash Flow Statement</t>
  </si>
  <si>
    <t>Less: Minimum Cash Balance</t>
  </si>
  <si>
    <t>Total Cash Available (Required)</t>
  </si>
  <si>
    <t>Total Cash Available</t>
  </si>
  <si>
    <t>Total Debt Paydown</t>
  </si>
  <si>
    <t>Interest Expense Schedule</t>
  </si>
  <si>
    <t>Average Debt Balance</t>
  </si>
  <si>
    <t>Average Interest Rate</t>
  </si>
  <si>
    <t>Total Interest Expense / Average Debt Balance</t>
  </si>
  <si>
    <t>Total Interest Expense</t>
  </si>
  <si>
    <t>Discounted Cash Flow Analysis ($ in Millions)</t>
  </si>
  <si>
    <t>Discounted Cash Flow Analysis</t>
  </si>
  <si>
    <t>Years</t>
  </si>
  <si>
    <t>Link to Income Statement</t>
  </si>
  <si>
    <t>Operating Income</t>
  </si>
  <si>
    <t>Taxes @</t>
  </si>
  <si>
    <t>Tax-Effected EBIT</t>
  </si>
  <si>
    <t>Plus: Depreciation</t>
  </si>
  <si>
    <t>Link to Cash Flow Statement</t>
  </si>
  <si>
    <t>Less: Capital Expenditures</t>
  </si>
  <si>
    <t>Unlevered Free Cash Flow</t>
  </si>
  <si>
    <t>Present Value @ a Discount Rate of:</t>
  </si>
  <si>
    <t>Present Value of Projection Period</t>
  </si>
  <si>
    <t>Perpetuity Method</t>
  </si>
  <si>
    <t>EBITDA Exit Multiple Method</t>
  </si>
  <si>
    <t>Perpetuity Growth Rate</t>
  </si>
  <si>
    <t>EBITDA Multiple</t>
  </si>
  <si>
    <t>Terminal Value</t>
  </si>
  <si>
    <t>Present Value of Terminal Value</t>
  </si>
  <si>
    <t>Total Enterprise Value</t>
  </si>
  <si>
    <t>Valuation Summary ($ in Millions)</t>
  </si>
  <si>
    <t>Target</t>
  </si>
  <si>
    <t>Enterprise</t>
  </si>
  <si>
    <t>Net</t>
  </si>
  <si>
    <t>Equity</t>
  </si>
  <si>
    <t>Shares</t>
  </si>
  <si>
    <t>Stock</t>
  </si>
  <si>
    <t>Metric</t>
  </si>
  <si>
    <t>Multiple</t>
  </si>
  <si>
    <t>Value</t>
  </si>
  <si>
    <t>-</t>
  </si>
  <si>
    <t>Debt</t>
  </si>
  <si>
    <t>=</t>
  </si>
  <si>
    <t>/</t>
  </si>
  <si>
    <t>Outstanding</t>
  </si>
  <si>
    <t>Price</t>
  </si>
  <si>
    <t>Comparable Companies Analysis</t>
  </si>
  <si>
    <t>Revenue x Multiple = Enterprise Value</t>
  </si>
  <si>
    <t>EBITDA x Multiple = Enterprise Value</t>
  </si>
  <si>
    <t>Net Earnings x Multiple = Equity Value</t>
  </si>
  <si>
    <t>Acquisition Comparables Analysis</t>
  </si>
  <si>
    <t>Link in Enterprise Value to the DCF Tab</t>
  </si>
  <si>
    <t>Current Valuation</t>
  </si>
  <si>
    <t>Insert current stock price and work backwards</t>
  </si>
  <si>
    <t>Leverage Buyout Analysis ($ in Millions)</t>
  </si>
  <si>
    <t>Pro Forma Financial Statements</t>
  </si>
  <si>
    <t>Transaction Value</t>
  </si>
  <si>
    <t>Current Share Price</t>
  </si>
  <si>
    <t>Premium</t>
  </si>
  <si>
    <t>Total Expenses</t>
  </si>
  <si>
    <t>Offer Price</t>
  </si>
  <si>
    <t>EBIT</t>
  </si>
  <si>
    <t>Shares Outstanding</t>
  </si>
  <si>
    <t>Purchase Price</t>
  </si>
  <si>
    <t>Plus: Debt</t>
  </si>
  <si>
    <t>Less: Cash</t>
  </si>
  <si>
    <t>Net Income</t>
  </si>
  <si>
    <t>Plus: Depreciation &amp; Amortization</t>
  </si>
  <si>
    <t>Less: Scheduled Senior Debt Paydown</t>
  </si>
  <si>
    <t>Sources and Uses</t>
  </si>
  <si>
    <t>Cash Flow Available for Debt Paydown</t>
  </si>
  <si>
    <t>xEBITDA</t>
  </si>
  <si>
    <t>Amort</t>
  </si>
  <si>
    <t>% Total</t>
  </si>
  <si>
    <t>Amount</t>
  </si>
  <si>
    <t>Senior Debt</t>
  </si>
  <si>
    <t>Excess Cash Flow</t>
  </si>
  <si>
    <t>Subordinated Debt</t>
  </si>
  <si>
    <t>Sponsor's Equity</t>
  </si>
  <si>
    <t>Total Sources</t>
  </si>
  <si>
    <t>Total Beginning Balance</t>
  </si>
  <si>
    <t>Transaction Expenses</t>
  </si>
  <si>
    <t>Total Uses</t>
  </si>
  <si>
    <t>Investor Returns</t>
  </si>
  <si>
    <t>Total Ending Balance</t>
  </si>
  <si>
    <t>Years of Investment</t>
  </si>
  <si>
    <t>Cash Balance</t>
  </si>
  <si>
    <t>x EBITDA Multiple</t>
  </si>
  <si>
    <t>Plus: Excess Cash Flow</t>
  </si>
  <si>
    <t>Enterprise Value</t>
  </si>
  <si>
    <t>Cash</t>
  </si>
  <si>
    <t>Equity Value</t>
  </si>
  <si>
    <t>Internal Rate of Return</t>
  </si>
  <si>
    <t>Cash-on-Cash Return</t>
  </si>
  <si>
    <t>Credit Metrics</t>
  </si>
  <si>
    <t>EBITDA / Interest Expense</t>
  </si>
  <si>
    <t>Revenue x Other Current Liabilities as a % of Revenue</t>
  </si>
  <si>
    <t>No. of Shares Repurchased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</si>
  <si>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</si>
  <si>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</si>
  <si>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>Beginning Debt</t>
  </si>
  <si>
    <t>Debt Pay Down and Issuance</t>
  </si>
  <si>
    <t>Ending Debt</t>
  </si>
  <si>
    <t>Valuation Module</t>
  </si>
  <si>
    <t>Leveraged Buyout Module</t>
  </si>
  <si>
    <t>P/E Multiple</t>
  </si>
  <si>
    <t>Change in Revolver</t>
  </si>
  <si>
    <t>Revolver Issued</t>
  </si>
  <si>
    <t>Average Price Paid per Share / Basic Earnings per Share</t>
  </si>
  <si>
    <t>Share Repurchases ($)</t>
  </si>
  <si>
    <t>Link to the Ending Balance of the previous year</t>
  </si>
  <si>
    <t>Accounts Payable</t>
  </si>
  <si>
    <t>Accounts Receivable / Revenue x Days</t>
  </si>
  <si>
    <t>Fiscal Year Ended December 31,</t>
  </si>
  <si>
    <t xml:space="preserve">Enterprise Value / </t>
  </si>
  <si>
    <t>Share</t>
  </si>
  <si>
    <t>Market</t>
  </si>
  <si>
    <t>Sales</t>
  </si>
  <si>
    <t>Price / Earnings</t>
  </si>
  <si>
    <t>Total</t>
  </si>
  <si>
    <t>Ticker</t>
  </si>
  <si>
    <t>EPS</t>
  </si>
  <si>
    <t>Alaska Air Group</t>
  </si>
  <si>
    <t>ALK</t>
  </si>
  <si>
    <t>Southwest Airlines</t>
  </si>
  <si>
    <t>LUV</t>
  </si>
  <si>
    <t>Hawaiian Holdings</t>
  </si>
  <si>
    <t>HA</t>
  </si>
  <si>
    <t>JetBlue Airways</t>
  </si>
  <si>
    <t>JBLU</t>
  </si>
  <si>
    <t>Spirit Airlines</t>
  </si>
  <si>
    <t>SAVE</t>
  </si>
  <si>
    <t>American Airlines</t>
  </si>
  <si>
    <t>AAL</t>
  </si>
  <si>
    <t>Delta Air Lines</t>
  </si>
  <si>
    <t>DAL</t>
  </si>
  <si>
    <t>United Continential Holdings</t>
  </si>
  <si>
    <t>UAL</t>
  </si>
  <si>
    <t>Average</t>
  </si>
  <si>
    <t>Median</t>
  </si>
  <si>
    <t>ALGT</t>
  </si>
  <si>
    <t>EBITDA Margin</t>
  </si>
  <si>
    <t>Buyer</t>
  </si>
  <si>
    <t>Date</t>
  </si>
  <si>
    <t>LTM</t>
  </si>
  <si>
    <t>LTM EBITDA</t>
  </si>
  <si>
    <t>LTM Sales</t>
  </si>
  <si>
    <t>US Airways Group</t>
  </si>
  <si>
    <t>Virgin America</t>
  </si>
  <si>
    <t>AirTran Holdings</t>
  </si>
  <si>
    <t>WACC Analysis ($ in Millions)</t>
  </si>
  <si>
    <t>Inputs</t>
  </si>
  <si>
    <t>Cost of Debt Calculation</t>
  </si>
  <si>
    <t>Risk Free Rate</t>
  </si>
  <si>
    <t>Pre-Tax Cost of Debt</t>
  </si>
  <si>
    <t>Yield-to-Maturity of Debt</t>
  </si>
  <si>
    <t>Equity Risk Premium</t>
  </si>
  <si>
    <t>After-Tax Cost of Debt</t>
  </si>
  <si>
    <t>Beta</t>
  </si>
  <si>
    <t>Cost of Equity Calculation</t>
  </si>
  <si>
    <t>Common Shares</t>
  </si>
  <si>
    <t>Share Price</t>
  </si>
  <si>
    <t>Market Value of Debt</t>
  </si>
  <si>
    <t>Cost of Equity</t>
  </si>
  <si>
    <t>WACC Calculation</t>
  </si>
  <si>
    <t>Cost of Capital</t>
  </si>
  <si>
    <t>Market Value of Equity</t>
  </si>
  <si>
    <t>Margin</t>
  </si>
  <si>
    <t>Acquisition Comparables Analysis ($ in Millions)</t>
  </si>
  <si>
    <t>Implied EBITDA Multiple</t>
  </si>
  <si>
    <t>Implied Perpetuity Growth Rate</t>
  </si>
  <si>
    <t>Northwest Airlines</t>
  </si>
  <si>
    <t>Midwest Air Group</t>
  </si>
  <si>
    <t>Public Comparables Analysis ($ in Millions)</t>
  </si>
  <si>
    <t>=IF(H23&lt;0,-H23,0)</t>
  </si>
  <si>
    <t>Revenue - Operating Income</t>
  </si>
  <si>
    <t>Average Common Shares Outstanding</t>
  </si>
  <si>
    <t>Transaction</t>
  </si>
  <si>
    <t>Present Value = Future Value / (1 + Discount Rate)^Years</t>
  </si>
  <si>
    <t>Accounts Payable as a % of Revenue</t>
  </si>
  <si>
    <t>Accounts Payable / Revenue</t>
  </si>
  <si>
    <t>Beginning Balance of Equity</t>
  </si>
  <si>
    <t>Ending Balance of Equity</t>
  </si>
  <si>
    <t>Ending Balance of Shares Outstanding</t>
  </si>
  <si>
    <t>Beginning Balance of Shares Outstanding</t>
  </si>
  <si>
    <t>Dividends ($)</t>
  </si>
  <si>
    <t>Revolver Beginning Balance</t>
  </si>
  <si>
    <t>Long-Term Debt Beginning Balance</t>
  </si>
  <si>
    <t>Revolver Paydown</t>
  </si>
  <si>
    <t>Long-Term Debt Paydown</t>
  </si>
  <si>
    <t>Revolver Ending Balance</t>
  </si>
  <si>
    <t>Long-Term Debt Ending Balance</t>
  </si>
  <si>
    <t>Revolver Average Balance</t>
  </si>
  <si>
    <t>Long-Term Debt Average Balance</t>
  </si>
  <si>
    <t>Revolver Interest Rate</t>
  </si>
  <si>
    <t>Long-Term Debt Interest Rate</t>
  </si>
  <si>
    <t>Revolver Interest Expense</t>
  </si>
  <si>
    <t>Long-Term Debt Interest Expense</t>
  </si>
  <si>
    <t>Revenue x Accounts Payable as a % of Revenue</t>
  </si>
  <si>
    <t>Link to the ending balance of the previous year</t>
  </si>
  <si>
    <t>Link into row 21</t>
  </si>
  <si>
    <t>% Operating Margin</t>
  </si>
  <si>
    <t>% Net Margin</t>
  </si>
  <si>
    <t>Other Expense (Income)</t>
  </si>
  <si>
    <t>Present Value of Projection Period + Present Value of Terminal Value</t>
  </si>
  <si>
    <t>Cap</t>
  </si>
  <si>
    <t>Senior Debt Beginning Balance</t>
  </si>
  <si>
    <t>Subordinate Debt Beginning Balance</t>
  </si>
  <si>
    <t>Senior Debt Ending Balance</t>
  </si>
  <si>
    <t>Subordinate Debt Ending Balance</t>
  </si>
  <si>
    <t>Senior Debt Average Debt Balance</t>
  </si>
  <si>
    <t>Subordinate Debt Average Debt Balance</t>
  </si>
  <si>
    <t>Senior Debt Interest Rate</t>
  </si>
  <si>
    <t>Subordinate Debt Interest Rate</t>
  </si>
  <si>
    <t>Senior Debt Interest Expense</t>
  </si>
  <si>
    <t>Subordinate Debt Interest Expense</t>
  </si>
  <si>
    <t>2016A</t>
  </si>
  <si>
    <t>2021E</t>
  </si>
  <si>
    <t>Accrued Liabilities</t>
  </si>
  <si>
    <t>Accrued Liabilities as a % of Revenue</t>
  </si>
  <si>
    <t>Accrued Liabilities / Revenue</t>
  </si>
  <si>
    <t>Revenue x Accrued Liabilities as a % of Revenue</t>
  </si>
  <si>
    <t>Revolver Issued + Revolver Paydown</t>
  </si>
  <si>
    <t>Link into the Debt Schedule</t>
  </si>
  <si>
    <t>=Average(Revolver Beginning Balance,Revolver Ending Balance)</t>
  </si>
  <si>
    <t>=Average(Long-Term Debt Beginning Balance,Long-Term Debt Ending Balance)</t>
  </si>
  <si>
    <t>Revolver Average Balance x Revolver Interest Rate</t>
  </si>
  <si>
    <t>Long-Term Debt Average Balance x Long-Term Debt Interest Rate</t>
  </si>
  <si>
    <t>% TV</t>
  </si>
  <si>
    <t>Long-Term Debt Paydown (Scheduled)</t>
  </si>
  <si>
    <t>Change in Long-Term Debt</t>
  </si>
  <si>
    <t>Total Debt - Cash and Cash Equivalents</t>
  </si>
  <si>
    <t>Cash and Cash Equivalents / Total Current Liabilities</t>
  </si>
  <si>
    <t>Long-Term Debt Issued</t>
  </si>
  <si>
    <t>Beginning Long-Term Debt Balance + Long-Term Debt Issued + Long-Term Debt Paydown</t>
  </si>
  <si>
    <t>Beginning Revolver Balance + Revolver Issued + Revolver Paydown</t>
  </si>
  <si>
    <t>Long-Term Debt Issued + Long-Term Debt Paydown</t>
  </si>
  <si>
    <t>=-IF(H27&gt;0,MIN(H10,H27),0)</t>
  </si>
  <si>
    <t>2017A</t>
  </si>
  <si>
    <t>2022E</t>
  </si>
  <si>
    <t>2018 Revenue</t>
  </si>
  <si>
    <t>2018 EBITDA</t>
  </si>
  <si>
    <t>% Operating Margin x Revenue</t>
  </si>
  <si>
    <t>Net Earnings / Shareholders' Equity</t>
  </si>
  <si>
    <t>=Average (Beginning Balance of Shares Outstanding, Ending Balance of Shares Outstanding)</t>
  </si>
  <si>
    <t>Link to row 30</t>
  </si>
  <si>
    <t>Average Common Shares Outstanding x Dividends per Share</t>
  </si>
  <si>
    <t>Total Beginning Debt Balance</t>
  </si>
  <si>
    <t>Total Ending Debt Balance</t>
  </si>
  <si>
    <t>Total Ending Debt Balance / EBITDA</t>
  </si>
  <si>
    <t>Total Ending Debt Balance / Shareholders' Equity</t>
  </si>
  <si>
    <t>Operating Income + Depreciation</t>
  </si>
  <si>
    <t>Dividends ($) / Average Common Shares Outstanding</t>
  </si>
  <si>
    <t>Share Repurchases ($) / No. of Shares Repurchased; P/E Multiple * Basic Earnings per Share</t>
  </si>
  <si>
    <t>Link to row 19; Share Repurchases ($) / Average Price Paid per Share</t>
  </si>
  <si>
    <t>Total Scheduled Debt Paydown</t>
  </si>
  <si>
    <t>Note: Current Maturities of Long-Term Debt has been combined with Total Debt and designated as a long-term liability for training purposes. Cash and Cash</t>
  </si>
  <si>
    <t>Equivalents includes Restricted Cash and Short-Term Investments.</t>
  </si>
  <si>
    <t>Interest Income</t>
  </si>
  <si>
    <t>Adventis Air Company Financial Model</t>
  </si>
  <si>
    <t>PP&amp;E Schedule</t>
  </si>
  <si>
    <t>Beginning Balance of PP&amp;E</t>
  </si>
  <si>
    <t>PP&amp;E Schedule ($ in Millions)</t>
  </si>
  <si>
    <t>Ending Balance of PP&amp;E</t>
  </si>
  <si>
    <t>Interest Income Schedule</t>
  </si>
  <si>
    <t xml:space="preserve">Average Cash Balance 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</si>
  <si>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</si>
  <si>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</si>
  <si>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</si>
  <si>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</si>
  <si>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</si>
  <si>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=Average(Cash Beginning Balance,Cash Ending Balance)</t>
  </si>
  <si>
    <t xml:space="preserve">Allegiant Travel </t>
  </si>
  <si>
    <t xml:space="preserve">Adventis Air </t>
  </si>
  <si>
    <t>Less: Discretionary Senior Debt Paydown</t>
  </si>
  <si>
    <t>Subordinate Debt Paydown</t>
  </si>
  <si>
    <t>Senior Debt Paydown</t>
  </si>
  <si>
    <t>ADVA</t>
  </si>
  <si>
    <t>Net Property, Plant &amp; Equipment</t>
  </si>
  <si>
    <t>Free Cash Flow (Levered)</t>
  </si>
  <si>
    <t>Sales CAGR</t>
  </si>
  <si>
    <t>2018A</t>
  </si>
  <si>
    <t>2023E</t>
  </si>
  <si>
    <t>Link 2018A into the Balance Sheet</t>
  </si>
  <si>
    <t>Perpetuity Rate: 2023 FCF x [(1 + Perpetuity Growth Rate) / (Discount Rate - Perpetuity Growth Rate)]</t>
  </si>
  <si>
    <t>EBITDA Exit Multiple: 2023 EBITDA x EBITDA Multiple</t>
  </si>
  <si>
    <t>Implied EBITDA Multiple: Terminal Value / 2023 EBITDA</t>
  </si>
  <si>
    <t>Implied Perpetuity Growth Rate: (Terminal Value * Discount Rate - 2023 FCF) / (Terminal Value + 2023 FCF)</t>
  </si>
  <si>
    <t>2023 Free Cash Flow</t>
  </si>
  <si>
    <t>2023 EBITDA</t>
  </si>
  <si>
    <t>2019 Revenue</t>
  </si>
  <si>
    <t>2019 EBITDA</t>
  </si>
  <si>
    <t xml:space="preserve">2019 Net Earnings </t>
  </si>
  <si>
    <t>No. of Shares Issued</t>
  </si>
  <si>
    <t>18A-20E</t>
  </si>
  <si>
    <t>Source: Yahoo Finance and Bloomberg as of 4/8/2019. Shares Outstanding represent basic shares outstanding.</t>
  </si>
  <si>
    <t>Frontier Airlines</t>
  </si>
  <si>
    <t>Indigo Partners</t>
  </si>
  <si>
    <t>AMR Corp. (American Airlines)</t>
  </si>
  <si>
    <t>Continential Airlines</t>
  </si>
  <si>
    <t>UAL Corp. (United Airlines)</t>
  </si>
  <si>
    <t>Aeromexico</t>
  </si>
  <si>
    <t>Investor Group led by Banamex</t>
  </si>
  <si>
    <t>Northwest Airlines / TPG Partners</t>
  </si>
  <si>
    <t>Source: Company press releases, Virgin America proxy statement from June 17, 2016</t>
  </si>
  <si>
    <t>Step 6: Link into the PP&amp;E Schedule</t>
  </si>
  <si>
    <t>Interest Schedule ($ in Millions)</t>
  </si>
  <si>
    <t>Link into the Share Repurchase Schedule</t>
  </si>
  <si>
    <t>Step 5: Link to the ending balance of the previous year</t>
  </si>
  <si>
    <t>Step 5: Link 2018A into the Balance Sheet</t>
  </si>
  <si>
    <t>Step 10: Link into the Interest Income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</si>
</sst>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0.0%_);\(0.0%\);\ \-\ \-\ "/>
    <numFmt numFmtId="170" formatCode="&quot;$&quot;#,##0.00_);\(&quot;$&quot;#,##0.00\);\ \-\ \-\ "/>
    <numFmt numFmtId="171" formatCode="#,##0.0\x_);\(#,##0.0\x\);\ \-\ \-\ "/>
    <numFmt numFmtId="172" formatCode="#,##0.00_);\(#,##0.00\);\ \-\ \-\ "/>
    <numFmt numFmtId="173" formatCode="#,##0.000_);\(#,##0.000\)"/>
    <numFmt numFmtId="174" formatCode="_(* #,##0.0_);_(* \(#,##0.0\);_(* &quot;-&quot;??_);_(@_)"/>
    <numFmt numFmtId="175" formatCode="#,##0.00%_);\(#,##0.00%\);\ \-\ \-\ "/>
    <numFmt numFmtId="176" formatCode="[$-409]mmm\-yyyy;@"/>
    <numFmt numFmtId="177" formatCode="&quot;$&quot;#,##0.0_);\(&quot;$&quot;#,##0.0\);\ \-\ \-\ "/>
    <numFmt numFmtId="178" formatCode="#,##0.00000%_);\(#,##0.00000%\);\ \-\ \-\ "/>
    <numFmt numFmtId="179" formatCode="#,##0%_);\(#,##0%\);\ \-\ \-\ "/>
  </numFmts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u/>
      <sz val="7"/>
      <color theme="1"/>
      <name val="Arial"/>
      <family val="2"/>
    </font>
    <font>
      <sz val="7"/>
      <color rgb="FFFF0000"/>
      <name val="Arial"/>
      <family val="2"/>
    </font>
    <font>
      <b/>
      <u val="singleAccounting"/>
      <sz val="7"/>
      <color theme="1"/>
      <name val="Arial"/>
      <family val="2"/>
    </font>
    <font>
      <b/>
      <sz val="10"/>
      <color rgb="FF008000"/>
      <name val="Arial"/>
      <family val="2"/>
    </font>
    <font>
      <sz val="8"/>
      <color theme="1"/>
      <name val="Arial"/>
      <family val="2"/>
    </font>
    <font>
      <b/>
      <u val="singleAccounting"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8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37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5" fontId="8" fillId="0" borderId="3" xfId="0" applyNumberFormat="1" applyFont="1" applyBorder="1" applyAlignment="1">
      <alignment vertical="center"/>
    </xf>
    <xf numFmtId="164" fontId="8" fillId="0" borderId="0" xfId="0" applyNumberFormat="1" applyFont="1" applyBorder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165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7" fontId="7" fillId="0" borderId="0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5" fontId="8" fillId="3" borderId="0" xfId="0" applyNumberFormat="1" applyFont="1" applyFill="1" applyBorder="1" applyAlignment="1">
      <alignment vertical="center"/>
    </xf>
    <xf numFmtId="0" fontId="11" fillId="2" borderId="0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0" borderId="0" xfId="0" applyFont="1" applyAlignment="1"/>
    <xf numFmtId="0" fontId="11" fillId="0" borderId="0" xfId="0" applyFont="1"/>
    <xf numFmtId="0" fontId="11" fillId="0" borderId="0" xfId="0" applyFont="1" applyAlignme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7" fillId="4" borderId="2" xfId="0" applyFont="1" applyFill="1" applyBorder="1" applyAlignment="1">
      <alignment horizontal="centerContinuous" vertical="center"/>
    </xf>
    <xf numFmtId="0" fontId="17" fillId="0" borderId="4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3" xfId="0" applyFont="1" applyBorder="1"/>
    <xf numFmtId="165" fontId="20" fillId="0" borderId="3" xfId="0" applyNumberFormat="1" applyFont="1" applyBorder="1"/>
    <xf numFmtId="165" fontId="16" fillId="0" borderId="3" xfId="0" applyNumberFormat="1" applyFont="1" applyBorder="1"/>
    <xf numFmtId="0" fontId="16" fillId="0" borderId="0" xfId="0" applyFont="1" applyBorder="1"/>
    <xf numFmtId="165" fontId="16" fillId="0" borderId="0" xfId="0" applyNumberFormat="1" applyFont="1" applyBorder="1"/>
    <xf numFmtId="167" fontId="16" fillId="0" borderId="3" xfId="0" applyNumberFormat="1" applyFont="1" applyBorder="1"/>
    <xf numFmtId="0" fontId="16" fillId="0" borderId="4" xfId="0" applyFont="1" applyBorder="1"/>
    <xf numFmtId="0" fontId="16" fillId="0" borderId="6" xfId="0" applyFont="1" applyBorder="1"/>
    <xf numFmtId="0" fontId="16" fillId="0" borderId="0" xfId="0" applyFont="1" applyBorder="1" applyAlignment="1">
      <alignment vertical="center"/>
    </xf>
    <xf numFmtId="167" fontId="21" fillId="0" borderId="0" xfId="0" applyNumberFormat="1" applyFont="1" applyBorder="1"/>
    <xf numFmtId="0" fontId="16" fillId="0" borderId="9" xfId="0" applyFont="1" applyBorder="1" applyAlignment="1">
      <alignment horizontal="left" indent="1"/>
    </xf>
    <xf numFmtId="164" fontId="20" fillId="0" borderId="0" xfId="0" applyNumberFormat="1" applyFont="1" applyBorder="1"/>
    <xf numFmtId="170" fontId="16" fillId="0" borderId="10" xfId="0" applyNumberFormat="1" applyFont="1" applyBorder="1"/>
    <xf numFmtId="165" fontId="16" fillId="0" borderId="10" xfId="0" applyNumberFormat="1" applyFont="1" applyBorder="1"/>
    <xf numFmtId="0" fontId="16" fillId="0" borderId="5" xfId="0" applyFont="1" applyBorder="1" applyAlignment="1">
      <alignment horizontal="left" indent="1"/>
    </xf>
    <xf numFmtId="0" fontId="16" fillId="0" borderId="2" xfId="0" applyFont="1" applyBorder="1"/>
    <xf numFmtId="0" fontId="16" fillId="0" borderId="9" xfId="0" applyFont="1" applyBorder="1"/>
    <xf numFmtId="0" fontId="16" fillId="0" borderId="6" xfId="0" applyFont="1" applyBorder="1" applyAlignment="1">
      <alignment vertical="center"/>
    </xf>
    <xf numFmtId="0" fontId="25" fillId="0" borderId="0" xfId="0" applyFont="1" applyBorder="1" applyAlignment="1">
      <alignment horizontal="centerContinuous" vertical="center"/>
    </xf>
    <xf numFmtId="167" fontId="16" fillId="0" borderId="0" xfId="0" applyNumberFormat="1" applyFont="1" applyBorder="1"/>
    <xf numFmtId="164" fontId="22" fillId="0" borderId="0" xfId="0" applyNumberFormat="1" applyFont="1" applyBorder="1"/>
    <xf numFmtId="165" fontId="16" fillId="0" borderId="2" xfId="0" applyNumberFormat="1" applyFont="1" applyBorder="1"/>
    <xf numFmtId="0" fontId="16" fillId="0" borderId="10" xfId="0" applyFont="1" applyBorder="1"/>
    <xf numFmtId="165" fontId="20" fillId="0" borderId="0" xfId="0" applyNumberFormat="1" applyFont="1" applyBorder="1"/>
    <xf numFmtId="164" fontId="16" fillId="0" borderId="0" xfId="0" applyNumberFormat="1" applyFont="1" applyBorder="1"/>
    <xf numFmtId="164" fontId="20" fillId="0" borderId="0" xfId="0" applyNumberFormat="1" applyFont="1" applyBorder="1" applyAlignment="1">
      <alignment vertical="center"/>
    </xf>
    <xf numFmtId="164" fontId="16" fillId="0" borderId="0" xfId="0" quotePrefix="1" applyNumberFormat="1" applyFont="1" applyBorder="1"/>
    <xf numFmtId="0" fontId="23" fillId="0" borderId="6" xfId="0" applyFont="1" applyBorder="1"/>
    <xf numFmtId="0" fontId="16" fillId="0" borderId="6" xfId="0" applyFont="1" applyBorder="1" applyAlignment="1">
      <alignment horizontal="left" indent="1"/>
    </xf>
    <xf numFmtId="0" fontId="17" fillId="0" borderId="8" xfId="0" applyFont="1" applyBorder="1" applyAlignment="1">
      <alignment horizontal="centerContinuous" vertical="center"/>
    </xf>
    <xf numFmtId="165" fontId="20" fillId="0" borderId="10" xfId="0" applyNumberFormat="1" applyFont="1" applyBorder="1"/>
    <xf numFmtId="167" fontId="16" fillId="0" borderId="10" xfId="0" applyNumberFormat="1" applyFont="1" applyBorder="1"/>
    <xf numFmtId="0" fontId="24" fillId="0" borderId="0" xfId="0" applyFont="1"/>
    <xf numFmtId="0" fontId="17" fillId="0" borderId="5" xfId="0" applyFont="1" applyBorder="1" applyAlignment="1">
      <alignment horizontal="centerContinuous" vertical="center"/>
    </xf>
    <xf numFmtId="165" fontId="20" fillId="0" borderId="6" xfId="0" applyNumberFormat="1" applyFont="1" applyBorder="1"/>
    <xf numFmtId="164" fontId="16" fillId="0" borderId="6" xfId="0" applyNumberFormat="1" applyFont="1" applyBorder="1"/>
    <xf numFmtId="165" fontId="20" fillId="0" borderId="9" xfId="0" applyNumberFormat="1" applyFont="1" applyBorder="1"/>
    <xf numFmtId="165" fontId="16" fillId="0" borderId="9" xfId="0" applyNumberFormat="1" applyFont="1" applyBorder="1"/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1" fontId="16" fillId="0" borderId="8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5" fontId="16" fillId="0" borderId="0" xfId="0" applyNumberFormat="1" applyFont="1" applyBorder="1"/>
    <xf numFmtId="0" fontId="17" fillId="0" borderId="11" xfId="0" applyFont="1" applyBorder="1" applyAlignment="1">
      <alignment horizontal="centerContinuous" vertical="center"/>
    </xf>
    <xf numFmtId="0" fontId="16" fillId="0" borderId="12" xfId="0" applyFont="1" applyBorder="1"/>
    <xf numFmtId="165" fontId="16" fillId="0" borderId="12" xfId="0" applyNumberFormat="1" applyFont="1" applyBorder="1"/>
    <xf numFmtId="5" fontId="16" fillId="0" borderId="12" xfId="0" applyNumberFormat="1" applyFont="1" applyBorder="1"/>
    <xf numFmtId="164" fontId="16" fillId="0" borderId="12" xfId="0" applyNumberFormat="1" applyFont="1" applyBorder="1"/>
    <xf numFmtId="171" fontId="16" fillId="0" borderId="0" xfId="0" applyNumberFormat="1" applyFont="1" applyBorder="1"/>
    <xf numFmtId="167" fontId="16" fillId="0" borderId="12" xfId="0" applyNumberFormat="1" applyFont="1" applyBorder="1"/>
    <xf numFmtId="171" fontId="16" fillId="0" borderId="3" xfId="0" applyNumberFormat="1" applyFont="1" applyBorder="1"/>
    <xf numFmtId="166" fontId="21" fillId="0" borderId="0" xfId="0" applyNumberFormat="1" applyFont="1" applyBorder="1"/>
    <xf numFmtId="165" fontId="22" fillId="0" borderId="0" xfId="0" applyNumberFormat="1" applyFont="1" applyBorder="1"/>
    <xf numFmtId="0" fontId="9" fillId="0" borderId="0" xfId="0" applyFont="1" applyAlignment="1">
      <alignment vertical="center"/>
    </xf>
    <xf numFmtId="171" fontId="16" fillId="0" borderId="0" xfId="0" applyNumberFormat="1" applyFont="1"/>
    <xf numFmtId="0" fontId="17" fillId="0" borderId="3" xfId="0" applyFont="1" applyBorder="1" applyAlignment="1">
      <alignment horizontal="centerContinuous" vertical="center"/>
    </xf>
    <xf numFmtId="171" fontId="16" fillId="0" borderId="12" xfId="0" applyNumberFormat="1" applyFont="1" applyBorder="1"/>
    <xf numFmtId="5" fontId="16" fillId="0" borderId="3" xfId="0" applyNumberFormat="1" applyFont="1" applyBorder="1"/>
    <xf numFmtId="5" fontId="16" fillId="0" borderId="10" xfId="0" applyNumberFormat="1" applyFont="1" applyBorder="1"/>
    <xf numFmtId="0" fontId="16" fillId="0" borderId="7" xfId="0" applyFont="1" applyBorder="1"/>
    <xf numFmtId="171" fontId="16" fillId="0" borderId="4" xfId="0" applyNumberFormat="1" applyFont="1" applyBorder="1"/>
    <xf numFmtId="171" fontId="16" fillId="0" borderId="8" xfId="0" applyNumberFormat="1" applyFont="1" applyBorder="1"/>
    <xf numFmtId="0" fontId="6" fillId="0" borderId="0" xfId="0" applyFont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Border="1" applyAlignment="1">
      <alignment horizontal="centerContinuous" vertical="center"/>
    </xf>
    <xf numFmtId="0" fontId="3" fillId="0" borderId="0" xfId="0" quotePrefix="1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6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vertical="center"/>
    </xf>
    <xf numFmtId="165" fontId="8" fillId="0" borderId="0" xfId="0" applyNumberFormat="1" applyFont="1" applyBorder="1" applyAlignment="1">
      <alignment horizontal="right" vertical="center"/>
    </xf>
    <xf numFmtId="164" fontId="8" fillId="0" borderId="0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2" fillId="0" borderId="6" xfId="0" applyNumberFormat="1" applyFont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vertical="center"/>
    </xf>
    <xf numFmtId="167" fontId="1" fillId="0" borderId="3" xfId="0" applyNumberFormat="1" applyFont="1" applyBorder="1" applyAlignment="1">
      <alignment vertical="center"/>
    </xf>
    <xf numFmtId="7" fontId="1" fillId="0" borderId="0" xfId="0" applyNumberFormat="1" applyFont="1" applyAlignment="1">
      <alignment vertical="center"/>
    </xf>
    <xf numFmtId="165" fontId="1" fillId="3" borderId="0" xfId="0" applyNumberFormat="1" applyFont="1" applyFill="1" applyBorder="1" applyAlignment="1">
      <alignment vertical="center"/>
    </xf>
    <xf numFmtId="168" fontId="1" fillId="0" borderId="0" xfId="0" applyNumberFormat="1" applyFont="1" applyAlignment="1">
      <alignment vertical="center"/>
    </xf>
    <xf numFmtId="166" fontId="1" fillId="3" borderId="0" xfId="0" applyNumberFormat="1" applyFont="1" applyFill="1" applyBorder="1" applyAlignment="1">
      <alignment vertical="center"/>
    </xf>
    <xf numFmtId="169" fontId="1" fillId="3" borderId="0" xfId="0" applyNumberFormat="1" applyFont="1" applyFill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quotePrefix="1" applyFont="1" applyAlignment="1">
      <alignment vertical="center"/>
    </xf>
    <xf numFmtId="170" fontId="1" fillId="0" borderId="0" xfId="0" applyNumberFormat="1" applyFont="1" applyAlignment="1">
      <alignment vertical="center"/>
    </xf>
    <xf numFmtId="167" fontId="1" fillId="0" borderId="0" xfId="0" applyNumberFormat="1" applyFont="1" applyBorder="1" applyAlignment="1">
      <alignment vertical="center"/>
    </xf>
    <xf numFmtId="0" fontId="1" fillId="3" borderId="0" xfId="0" applyFont="1" applyFill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/>
    </xf>
    <xf numFmtId="7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72" fontId="1" fillId="0" borderId="0" xfId="0" applyNumberFormat="1" applyFont="1" applyBorder="1" applyAlignment="1">
      <alignment horizontal="right" vertical="center"/>
    </xf>
    <xf numFmtId="170" fontId="1" fillId="0" borderId="0" xfId="0" applyNumberFormat="1" applyFont="1" applyBorder="1" applyAlignment="1">
      <alignment horizontal="right" vertical="center"/>
    </xf>
    <xf numFmtId="0" fontId="17" fillId="4" borderId="11" xfId="0" applyFont="1" applyFill="1" applyBorder="1" applyAlignment="1">
      <alignment horizontal="centerContinuous" vertical="center"/>
    </xf>
    <xf numFmtId="0" fontId="16" fillId="4" borderId="11" xfId="0" applyFont="1" applyFill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165" fontId="20" fillId="0" borderId="12" xfId="0" applyNumberFormat="1" applyFont="1" applyBorder="1"/>
    <xf numFmtId="164" fontId="22" fillId="0" borderId="12" xfId="0" applyNumberFormat="1" applyFont="1" applyBorder="1"/>
    <xf numFmtId="164" fontId="20" fillId="0" borderId="12" xfId="0" applyNumberFormat="1" applyFont="1" applyBorder="1"/>
    <xf numFmtId="164" fontId="20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horizontal="centerContinuous" vertical="center"/>
    </xf>
    <xf numFmtId="165" fontId="22" fillId="0" borderId="12" xfId="0" applyNumberFormat="1" applyFont="1" applyBorder="1"/>
    <xf numFmtId="165" fontId="16" fillId="0" borderId="11" xfId="0" applyNumberFormat="1" applyFont="1" applyBorder="1"/>
    <xf numFmtId="165" fontId="7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6" fontId="21" fillId="0" borderId="12" xfId="0" applyNumberFormat="1" applyFont="1" applyBorder="1"/>
    <xf numFmtId="0" fontId="7" fillId="0" borderId="3" xfId="0" applyFont="1" applyBorder="1" applyAlignment="1">
      <alignment vertical="center"/>
    </xf>
    <xf numFmtId="165" fontId="7" fillId="0" borderId="0" xfId="0" applyNumberFormat="1" applyFont="1" applyBorder="1" applyAlignment="1">
      <alignment vertical="center"/>
    </xf>
    <xf numFmtId="170" fontId="10" fillId="0" borderId="0" xfId="0" applyNumberFormat="1" applyFont="1" applyAlignment="1">
      <alignment vertical="center"/>
    </xf>
    <xf numFmtId="171" fontId="10" fillId="0" borderId="3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horizontal="right" vertical="center"/>
    </xf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170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1" fontId="27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72" fontId="30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9" fillId="4" borderId="0" xfId="0" applyFont="1" applyFill="1" applyBorder="1" applyAlignment="1">
      <alignment horizontal="left" vertical="center"/>
    </xf>
    <xf numFmtId="0" fontId="29" fillId="4" borderId="0" xfId="0" applyFont="1" applyFill="1" applyAlignment="1">
      <alignment vertical="center"/>
    </xf>
    <xf numFmtId="172" fontId="31" fillId="4" borderId="0" xfId="0" applyNumberFormat="1" applyFont="1" applyFill="1" applyAlignment="1">
      <alignment vertical="center"/>
    </xf>
    <xf numFmtId="164" fontId="31" fillId="4" borderId="0" xfId="0" applyNumberFormat="1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71" fontId="29" fillId="4" borderId="0" xfId="0" applyNumberFormat="1" applyFont="1" applyFill="1" applyAlignment="1">
      <alignment vertical="center"/>
    </xf>
    <xf numFmtId="166" fontId="7" fillId="3" borderId="0" xfId="0" applyNumberFormat="1" applyFont="1" applyFill="1" applyAlignment="1">
      <alignment vertical="center"/>
    </xf>
    <xf numFmtId="166" fontId="1" fillId="0" borderId="3" xfId="0" applyNumberFormat="1" applyFont="1" applyBorder="1" applyAlignment="1">
      <alignment vertical="center"/>
    </xf>
    <xf numFmtId="166" fontId="7" fillId="0" borderId="3" xfId="0" applyNumberFormat="1" applyFont="1" applyBorder="1" applyAlignment="1">
      <alignment vertical="center"/>
    </xf>
    <xf numFmtId="166" fontId="10" fillId="0" borderId="0" xfId="0" applyNumberFormat="1" applyFont="1" applyAlignment="1">
      <alignment vertical="center"/>
    </xf>
    <xf numFmtId="171" fontId="1" fillId="0" borderId="0" xfId="0" applyNumberFormat="1" applyFont="1" applyBorder="1" applyAlignment="1">
      <alignment vertical="center"/>
    </xf>
    <xf numFmtId="166" fontId="8" fillId="0" borderId="0" xfId="0" applyNumberFormat="1" applyFont="1" applyBorder="1" applyAlignment="1">
      <alignment horizontal="right" vertical="center"/>
    </xf>
    <xf numFmtId="166" fontId="1" fillId="0" borderId="0" xfId="0" applyNumberFormat="1" applyFont="1" applyBorder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73" fontId="1" fillId="0" borderId="0" xfId="0" applyNumberFormat="1" applyFont="1" applyAlignment="1">
      <alignment vertical="center"/>
    </xf>
    <xf numFmtId="166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29" fillId="4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vertical="center"/>
    </xf>
    <xf numFmtId="166" fontId="34" fillId="0" borderId="0" xfId="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70" fontId="36" fillId="0" borderId="0" xfId="0" applyNumberFormat="1" applyFont="1" applyAlignment="1">
      <alignment vertical="center"/>
    </xf>
    <xf numFmtId="172" fontId="36" fillId="0" borderId="0" xfId="0" applyNumberFormat="1" applyFont="1" applyAlignment="1">
      <alignment vertical="center"/>
    </xf>
    <xf numFmtId="0" fontId="1" fillId="0" borderId="0" xfId="0" applyFont="1"/>
    <xf numFmtId="0" fontId="3" fillId="2" borderId="5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37" fillId="0" borderId="0" xfId="0" applyFont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0" fontId="1" fillId="0" borderId="0" xfId="0" applyFont="1" applyBorder="1"/>
    <xf numFmtId="10" fontId="38" fillId="0" borderId="0" xfId="0" applyNumberFormat="1" applyFont="1" applyBorder="1"/>
    <xf numFmtId="167" fontId="1" fillId="0" borderId="12" xfId="0" applyNumberFormat="1" applyFont="1" applyBorder="1"/>
    <xf numFmtId="0" fontId="38" fillId="0" borderId="0" xfId="0" applyFont="1" applyBorder="1"/>
    <xf numFmtId="0" fontId="1" fillId="0" borderId="5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0" fontId="1" fillId="0" borderId="0" xfId="0" applyFont="1" applyAlignment="1"/>
    <xf numFmtId="9" fontId="38" fillId="0" borderId="0" xfId="0" applyNumberFormat="1" applyFont="1" applyBorder="1"/>
    <xf numFmtId="0" fontId="1" fillId="0" borderId="7" xfId="0" applyFont="1" applyBorder="1"/>
    <xf numFmtId="0" fontId="1" fillId="0" borderId="4" xfId="0" applyFont="1" applyBorder="1"/>
    <xf numFmtId="174" fontId="38" fillId="0" borderId="0" xfId="1" applyNumberFormat="1" applyFont="1" applyBorder="1"/>
    <xf numFmtId="44" fontId="38" fillId="0" borderId="0" xfId="2" applyFont="1" applyBorder="1"/>
    <xf numFmtId="167" fontId="1" fillId="0" borderId="11" xfId="0" applyNumberFormat="1" applyFont="1" applyBorder="1"/>
    <xf numFmtId="0" fontId="1" fillId="0" borderId="3" xfId="0" applyFont="1" applyBorder="1" applyAlignment="1">
      <alignment horizontal="left" indent="1"/>
    </xf>
    <xf numFmtId="167" fontId="1" fillId="0" borderId="3" xfId="0" applyNumberFormat="1" applyFont="1" applyBorder="1"/>
    <xf numFmtId="0" fontId="1" fillId="0" borderId="4" xfId="0" applyFont="1" applyBorder="1" applyAlignment="1">
      <alignment horizontal="left" indent="1"/>
    </xf>
    <xf numFmtId="167" fontId="1" fillId="0" borderId="4" xfId="0" applyNumberFormat="1" applyFont="1" applyBorder="1"/>
    <xf numFmtId="0" fontId="1" fillId="0" borderId="12" xfId="0" applyFont="1" applyBorder="1"/>
    <xf numFmtId="0" fontId="12" fillId="0" borderId="0" xfId="0" applyFont="1" applyBorder="1" applyAlignment="1">
      <alignment horizontal="centerContinuous"/>
    </xf>
    <xf numFmtId="0" fontId="12" fillId="0" borderId="12" xfId="0" applyFont="1" applyBorder="1" applyAlignment="1">
      <alignment horizontal="centerContinuous"/>
    </xf>
    <xf numFmtId="165" fontId="1" fillId="0" borderId="0" xfId="0" applyNumberFormat="1" applyFont="1" applyBorder="1"/>
    <xf numFmtId="167" fontId="1" fillId="0" borderId="0" xfId="0" applyNumberFormat="1" applyFont="1" applyBorder="1"/>
    <xf numFmtId="164" fontId="1" fillId="0" borderId="0" xfId="0" applyNumberFormat="1" applyFont="1" applyBorder="1"/>
    <xf numFmtId="165" fontId="1" fillId="0" borderId="2" xfId="0" applyNumberFormat="1" applyFont="1" applyBorder="1"/>
    <xf numFmtId="167" fontId="1" fillId="0" borderId="2" xfId="0" applyNumberFormat="1" applyFont="1" applyBorder="1"/>
    <xf numFmtId="165" fontId="8" fillId="0" borderId="8" xfId="2" applyNumberFormat="1" applyFont="1" applyBorder="1"/>
    <xf numFmtId="170" fontId="8" fillId="0" borderId="12" xfId="2" applyNumberFormat="1" applyFont="1" applyBorder="1"/>
    <xf numFmtId="166" fontId="8" fillId="0" borderId="12" xfId="1" applyNumberFormat="1" applyFont="1" applyBorder="1"/>
    <xf numFmtId="167" fontId="1" fillId="0" borderId="11" xfId="3" applyNumberFormat="1" applyFont="1" applyBorder="1"/>
    <xf numFmtId="175" fontId="1" fillId="0" borderId="10" xfId="0" applyNumberFormat="1" applyFont="1" applyBorder="1"/>
    <xf numFmtId="176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7" fontId="40" fillId="0" borderId="0" xfId="0" applyNumberFormat="1" applyFont="1" applyBorder="1" applyAlignment="1">
      <alignment horizontal="right" vertical="center"/>
    </xf>
    <xf numFmtId="171" fontId="40" fillId="0" borderId="0" xfId="0" applyNumberFormat="1" applyFont="1" applyBorder="1" applyAlignment="1">
      <alignment vertical="center"/>
    </xf>
    <xf numFmtId="0" fontId="32" fillId="0" borderId="0" xfId="0" applyFont="1" applyAlignment="1">
      <alignment vertical="top" wrapText="1"/>
    </xf>
    <xf numFmtId="165" fontId="29" fillId="4" borderId="0" xfId="0" applyNumberFormat="1" applyFont="1" applyFill="1" applyAlignment="1">
      <alignment vertical="center"/>
    </xf>
    <xf numFmtId="0" fontId="32" fillId="0" borderId="0" xfId="0" applyFont="1" applyAlignment="1">
      <alignment horizontal="left" vertical="top"/>
    </xf>
    <xf numFmtId="0" fontId="27" fillId="0" borderId="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165" fontId="27" fillId="0" borderId="2" xfId="0" applyNumberFormat="1" applyFont="1" applyBorder="1" applyAlignment="1">
      <alignment vertical="center"/>
    </xf>
    <xf numFmtId="167" fontId="27" fillId="0" borderId="2" xfId="0" applyNumberFormat="1" applyFont="1" applyBorder="1" applyAlignment="1">
      <alignment vertical="center"/>
    </xf>
    <xf numFmtId="171" fontId="27" fillId="0" borderId="2" xfId="0" applyNumberFormat="1" applyFont="1" applyBorder="1" applyAlignment="1">
      <alignment vertical="center"/>
    </xf>
    <xf numFmtId="171" fontId="27" fillId="0" borderId="11" xfId="0" applyNumberFormat="1" applyFont="1" applyBorder="1" applyAlignment="1">
      <alignment vertical="center"/>
    </xf>
    <xf numFmtId="164" fontId="10" fillId="0" borderId="0" xfId="0" applyNumberFormat="1" applyFont="1" applyBorder="1" applyAlignment="1">
      <alignment vertical="center"/>
    </xf>
    <xf numFmtId="166" fontId="30" fillId="0" borderId="0" xfId="0" applyNumberFormat="1" applyFont="1" applyAlignment="1">
      <alignment vertical="center"/>
    </xf>
    <xf numFmtId="166" fontId="31" fillId="4" borderId="0" xfId="0" applyNumberFormat="1" applyFont="1" applyFill="1" applyAlignment="1">
      <alignment vertical="center"/>
    </xf>
    <xf numFmtId="167" fontId="3" fillId="0" borderId="11" xfId="0" applyNumberFormat="1" applyFont="1" applyBorder="1"/>
    <xf numFmtId="172" fontId="1" fillId="0" borderId="12" xfId="0" applyNumberFormat="1" applyFont="1" applyBorder="1"/>
    <xf numFmtId="167" fontId="8" fillId="3" borderId="0" xfId="0" applyNumberFormat="1" applyFont="1" applyFill="1" applyBorder="1" applyAlignment="1">
      <alignment horizontal="left" vertical="center"/>
    </xf>
    <xf numFmtId="167" fontId="1" fillId="3" borderId="0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6" fontId="20" fillId="0" borderId="12" xfId="0" applyNumberFormat="1" applyFont="1" applyBorder="1"/>
    <xf numFmtId="167" fontId="22" fillId="0" borderId="0" xfId="0" applyNumberFormat="1" applyFont="1" applyBorder="1"/>
    <xf numFmtId="167" fontId="22" fillId="0" borderId="12" xfId="0" applyNumberFormat="1" applyFont="1" applyBorder="1"/>
    <xf numFmtId="165" fontId="34" fillId="0" borderId="2" xfId="0" applyNumberFormat="1" applyFont="1" applyBorder="1" applyAlignment="1">
      <alignment vertical="center"/>
    </xf>
    <xf numFmtId="0" fontId="27" fillId="0" borderId="5" xfId="0" applyFont="1" applyBorder="1" applyAlignment="1">
      <alignment vertical="center"/>
    </xf>
    <xf numFmtId="170" fontId="34" fillId="0" borderId="2" xfId="0" applyNumberFormat="1" applyFont="1" applyBorder="1" applyAlignment="1">
      <alignment vertical="center"/>
    </xf>
    <xf numFmtId="177" fontId="1" fillId="0" borderId="0" xfId="0" applyNumberFormat="1" applyFont="1" applyAlignment="1">
      <alignment vertical="center"/>
    </xf>
    <xf numFmtId="166" fontId="10" fillId="3" borderId="0" xfId="0" applyNumberFormat="1" applyFont="1" applyFill="1" applyAlignment="1">
      <alignment vertical="center"/>
    </xf>
    <xf numFmtId="165" fontId="9" fillId="0" borderId="0" xfId="0" applyNumberFormat="1" applyFont="1" applyAlignment="1">
      <alignment vertical="center"/>
    </xf>
    <xf numFmtId="170" fontId="26" fillId="0" borderId="11" xfId="0" applyNumberFormat="1" applyFont="1" applyBorder="1" applyAlignment="1">
      <alignment horizontal="right" vertical="center"/>
    </xf>
    <xf numFmtId="170" fontId="20" fillId="0" borderId="12" xfId="0" applyNumberFormat="1" applyFont="1" applyBorder="1"/>
    <xf numFmtId="0" fontId="41" fillId="0" borderId="0" xfId="0" applyFont="1" applyBorder="1" applyAlignment="1">
      <alignment horizontal="left" vertical="center"/>
    </xf>
    <xf numFmtId="0" fontId="41" fillId="0" borderId="0" xfId="0" applyFont="1" applyAlignment="1">
      <alignment vertical="center"/>
    </xf>
    <xf numFmtId="172" fontId="1" fillId="0" borderId="0" xfId="0" applyNumberFormat="1" applyFont="1" applyBorder="1" applyAlignment="1">
      <alignment vertical="center"/>
    </xf>
    <xf numFmtId="165" fontId="1" fillId="0" borderId="0" xfId="0" quotePrefix="1" applyNumberFormat="1" applyFont="1" applyAlignment="1">
      <alignment vertical="center"/>
    </xf>
    <xf numFmtId="175" fontId="1" fillId="0" borderId="0" xfId="0" applyNumberFormat="1" applyFont="1" applyAlignment="1">
      <alignment vertical="center"/>
    </xf>
    <xf numFmtId="167" fontId="7" fillId="3" borderId="4" xfId="0" applyNumberFormat="1" applyFont="1" applyFill="1" applyBorder="1" applyAlignment="1">
      <alignment horizontal="right" vertical="center"/>
    </xf>
    <xf numFmtId="171" fontId="7" fillId="3" borderId="4" xfId="0" applyNumberFormat="1" applyFont="1" applyFill="1" applyBorder="1" applyAlignment="1">
      <alignment vertical="center"/>
    </xf>
    <xf numFmtId="171" fontId="7" fillId="3" borderId="0" xfId="0" applyNumberFormat="1" applyFont="1" applyFill="1" applyBorder="1" applyAlignment="1">
      <alignment horizontal="right" vertical="center"/>
    </xf>
    <xf numFmtId="167" fontId="21" fillId="3" borderId="12" xfId="0" applyNumberFormat="1" applyFont="1" applyFill="1" applyBorder="1"/>
    <xf numFmtId="171" fontId="21" fillId="3" borderId="0" xfId="0" applyNumberFormat="1" applyFont="1" applyFill="1"/>
    <xf numFmtId="0" fontId="16" fillId="3" borderId="0" xfId="0" applyFont="1" applyFill="1"/>
    <xf numFmtId="0" fontId="16" fillId="3" borderId="12" xfId="0" applyFont="1" applyFill="1" applyBorder="1"/>
    <xf numFmtId="165" fontId="16" fillId="3" borderId="12" xfId="0" applyNumberFormat="1" applyFont="1" applyFill="1" applyBorder="1"/>
    <xf numFmtId="164" fontId="21" fillId="3" borderId="12" xfId="0" applyNumberFormat="1" applyFont="1" applyFill="1" applyBorder="1"/>
    <xf numFmtId="164" fontId="22" fillId="3" borderId="12" xfId="0" applyNumberFormat="1" applyFont="1" applyFill="1" applyBorder="1"/>
    <xf numFmtId="165" fontId="16" fillId="3" borderId="10" xfId="0" applyNumberFormat="1" applyFont="1" applyFill="1" applyBorder="1"/>
    <xf numFmtId="165" fontId="16" fillId="3" borderId="0" xfId="0" applyNumberFormat="1" applyFont="1" applyFill="1" applyBorder="1"/>
    <xf numFmtId="171" fontId="21" fillId="3" borderId="0" xfId="0" applyNumberFormat="1" applyFont="1" applyFill="1" applyBorder="1" applyAlignment="1">
      <alignment horizontal="right"/>
    </xf>
    <xf numFmtId="167" fontId="21" fillId="3" borderId="0" xfId="0" applyNumberFormat="1" applyFont="1" applyFill="1" applyBorder="1"/>
    <xf numFmtId="167" fontId="16" fillId="3" borderId="3" xfId="0" applyNumberFormat="1" applyFont="1" applyFill="1" applyBorder="1"/>
    <xf numFmtId="165" fontId="7" fillId="3" borderId="0" xfId="0" applyNumberFormat="1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165" fontId="8" fillId="3" borderId="0" xfId="0" applyNumberFormat="1" applyFont="1" applyFill="1" applyAlignment="1">
      <alignment vertical="center"/>
    </xf>
    <xf numFmtId="164" fontId="7" fillId="3" borderId="0" xfId="0" applyNumberFormat="1" applyFont="1" applyFill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4" fontId="1" fillId="3" borderId="0" xfId="0" applyNumberFormat="1" applyFont="1" applyFill="1" applyAlignment="1">
      <alignment vertical="center"/>
    </xf>
    <xf numFmtId="167" fontId="1" fillId="3" borderId="0" xfId="0" applyNumberFormat="1" applyFont="1" applyFill="1" applyAlignment="1">
      <alignment vertical="center"/>
    </xf>
    <xf numFmtId="167" fontId="7" fillId="3" borderId="0" xfId="0" applyNumberFormat="1" applyFont="1" applyFill="1" applyAlignment="1">
      <alignment vertical="center"/>
    </xf>
    <xf numFmtId="167" fontId="1" fillId="3" borderId="3" xfId="0" applyNumberFormat="1" applyFont="1" applyFill="1" applyBorder="1" applyAlignment="1">
      <alignment vertical="center"/>
    </xf>
    <xf numFmtId="167" fontId="7" fillId="3" borderId="3" xfId="0" applyNumberFormat="1" applyFont="1" applyFill="1" applyBorder="1" applyAlignment="1">
      <alignment vertical="center"/>
    </xf>
    <xf numFmtId="164" fontId="8" fillId="3" borderId="0" xfId="0" applyNumberFormat="1" applyFont="1" applyFill="1" applyAlignment="1">
      <alignment vertical="center"/>
    </xf>
    <xf numFmtId="165" fontId="1" fillId="3" borderId="3" xfId="0" applyNumberFormat="1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165" fontId="8" fillId="3" borderId="3" xfId="0" applyNumberFormat="1" applyFont="1" applyFill="1" applyBorder="1" applyAlignment="1">
      <alignment vertical="center"/>
    </xf>
    <xf numFmtId="0" fontId="1" fillId="3" borderId="0" xfId="0" applyFont="1" applyFill="1" applyAlignment="1">
      <alignment horizontal="right" vertical="center"/>
    </xf>
    <xf numFmtId="166" fontId="7" fillId="3" borderId="0" xfId="0" applyNumberFormat="1" applyFont="1" applyFill="1" applyAlignment="1">
      <alignment horizontal="right" vertical="center"/>
    </xf>
    <xf numFmtId="166" fontId="1" fillId="3" borderId="0" xfId="0" applyNumberFormat="1" applyFont="1" applyFill="1" applyAlignment="1">
      <alignment vertical="center"/>
    </xf>
    <xf numFmtId="166" fontId="1" fillId="3" borderId="3" xfId="0" applyNumberFormat="1" applyFont="1" applyFill="1" applyBorder="1" applyAlignment="1">
      <alignment vertical="center"/>
    </xf>
    <xf numFmtId="166" fontId="7" fillId="3" borderId="3" xfId="0" applyNumberFormat="1" applyFont="1" applyFill="1" applyBorder="1" applyAlignment="1">
      <alignment vertical="center"/>
    </xf>
    <xf numFmtId="165" fontId="7" fillId="3" borderId="3" xfId="0" applyNumberFormat="1" applyFont="1" applyFill="1" applyBorder="1" applyAlignment="1">
      <alignment vertical="center"/>
    </xf>
    <xf numFmtId="171" fontId="10" fillId="3" borderId="3" xfId="0" applyNumberFormat="1" applyFont="1" applyFill="1" applyBorder="1" applyAlignment="1">
      <alignment vertical="center"/>
    </xf>
    <xf numFmtId="171" fontId="7" fillId="3" borderId="3" xfId="0" applyNumberFormat="1" applyFont="1" applyFill="1" applyBorder="1" applyAlignment="1">
      <alignment vertical="center"/>
    </xf>
    <xf numFmtId="170" fontId="1" fillId="3" borderId="0" xfId="0" applyNumberFormat="1" applyFont="1" applyFill="1" applyAlignment="1">
      <alignment vertical="center"/>
    </xf>
    <xf numFmtId="170" fontId="7" fillId="3" borderId="0" xfId="0" applyNumberFormat="1" applyFont="1" applyFill="1" applyBorder="1" applyAlignment="1">
      <alignment vertical="center"/>
    </xf>
    <xf numFmtId="5" fontId="10" fillId="3" borderId="3" xfId="0" applyNumberFormat="1" applyFont="1" applyFill="1" applyBorder="1" applyAlignment="1">
      <alignment vertical="center"/>
    </xf>
    <xf numFmtId="167" fontId="7" fillId="3" borderId="0" xfId="0" applyNumberFormat="1" applyFont="1" applyFill="1" applyBorder="1" applyAlignment="1">
      <alignment vertical="center"/>
    </xf>
    <xf numFmtId="170" fontId="30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vertical="center"/>
    </xf>
    <xf numFmtId="172" fontId="30" fillId="3" borderId="0" xfId="0" applyNumberFormat="1" applyFont="1" applyFill="1" applyAlignment="1">
      <alignment vertical="center"/>
    </xf>
    <xf numFmtId="165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horizontal="right" vertical="center"/>
    </xf>
    <xf numFmtId="5" fontId="30" fillId="3" borderId="0" xfId="0" applyNumberFormat="1" applyFont="1" applyFill="1" applyAlignment="1">
      <alignment vertical="center"/>
    </xf>
    <xf numFmtId="175" fontId="7" fillId="3" borderId="12" xfId="0" applyNumberFormat="1" applyFont="1" applyFill="1" applyBorder="1"/>
    <xf numFmtId="175" fontId="38" fillId="3" borderId="12" xfId="0" applyNumberFormat="1" applyFont="1" applyFill="1" applyBorder="1"/>
    <xf numFmtId="172" fontId="38" fillId="3" borderId="12" xfId="0" applyNumberFormat="1" applyFont="1" applyFill="1" applyBorder="1"/>
    <xf numFmtId="178" fontId="9" fillId="0" borderId="0" xfId="0" applyNumberFormat="1" applyFont="1" applyAlignment="1">
      <alignment vertical="center"/>
    </xf>
    <xf numFmtId="172" fontId="1" fillId="0" borderId="0" xfId="0" applyNumberFormat="1" applyFont="1" applyAlignment="1">
      <alignment vertical="center"/>
    </xf>
    <xf numFmtId="179" fontId="1" fillId="0" borderId="0" xfId="0" applyNumberFormat="1" applyFont="1" applyBorder="1" applyAlignment="1">
      <alignment vertical="center"/>
    </xf>
    <xf numFmtId="166" fontId="30" fillId="3" borderId="0" xfId="0" applyNumberFormat="1" applyFont="1" applyFill="1" applyBorder="1" applyAlignment="1">
      <alignment vertical="center"/>
    </xf>
    <xf numFmtId="172" fontId="30" fillId="3" borderId="0" xfId="0" applyNumberFormat="1" applyFont="1" applyFill="1" applyBorder="1" applyAlignment="1">
      <alignment vertical="center"/>
    </xf>
    <xf numFmtId="164" fontId="21" fillId="0" borderId="0" xfId="0" applyNumberFormat="1" applyFont="1" applyBorder="1"/>
    <xf numFmtId="164" fontId="21" fillId="0" borderId="12" xfId="0" applyNumberFormat="1" applyFont="1" applyBorder="1"/>
    <xf numFmtId="0" fontId="4" fillId="2" borderId="12" xfId="0" applyFont="1" applyFill="1" applyBorder="1" applyAlignment="1">
      <alignment vertical="center"/>
    </xf>
    <xf numFmtId="167" fontId="7" fillId="0" borderId="4" xfId="0" applyNumberFormat="1" applyFont="1" applyBorder="1" applyAlignment="1">
      <alignment vertical="center"/>
    </xf>
    <xf numFmtId="5" fontId="1" fillId="0" borderId="0" xfId="0" applyNumberFormat="1" applyFont="1" applyAlignment="1">
      <alignment vertical="center"/>
    </xf>
    <xf numFmtId="165" fontId="34" fillId="0" borderId="11" xfId="0" applyNumberFormat="1" applyFont="1" applyBorder="1" applyAlignment="1">
      <alignment vertical="center"/>
    </xf>
    <xf numFmtId="165" fontId="36" fillId="0" borderId="2" xfId="0" applyNumberFormat="1" applyFont="1" applyBorder="1" applyAlignment="1">
      <alignment vertical="center"/>
    </xf>
    <xf numFmtId="11" fontId="28" fillId="0" borderId="0" xfId="0" applyNumberFormat="1" applyFont="1" applyAlignment="1">
      <alignment horizontal="centerContinuous" vertical="center"/>
    </xf>
    <xf numFmtId="167" fontId="8" fillId="3" borderId="12" xfId="0" applyNumberFormat="1" applyFont="1" applyFill="1" applyBorder="1"/>
    <xf numFmtId="167" fontId="8" fillId="0" borderId="0" xfId="0" applyNumberFormat="1" applyFont="1" applyBorder="1" applyAlignment="1">
      <alignment horizontal="left" vertical="center"/>
    </xf>
    <xf numFmtId="166" fontId="21" fillId="3" borderId="0" xfId="0" applyNumberFormat="1" applyFont="1" applyFill="1" applyBorder="1"/>
    <xf numFmtId="164" fontId="16" fillId="3" borderId="0" xfId="0" applyNumberFormat="1" applyFont="1" applyFill="1" applyBorder="1"/>
    <xf numFmtId="164" fontId="16" fillId="3" borderId="12" xfId="0" applyNumberFormat="1" applyFont="1" applyFill="1" applyBorder="1"/>
    <xf numFmtId="167" fontId="20" fillId="0" borderId="0" xfId="0" applyNumberFormat="1" applyFont="1" applyBorder="1"/>
    <xf numFmtId="0" fontId="28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170" fontId="30" fillId="3" borderId="2" xfId="0" applyNumberFormat="1" applyFont="1" applyFill="1" applyBorder="1" applyAlignment="1">
      <alignment vertical="center"/>
    </xf>
    <xf numFmtId="166" fontId="34" fillId="3" borderId="2" xfId="0" applyNumberFormat="1" applyFont="1" applyFill="1" applyBorder="1" applyAlignment="1">
      <alignment vertical="center"/>
    </xf>
    <xf numFmtId="7" fontId="27" fillId="0" borderId="0" xfId="0" applyNumberFormat="1" applyFont="1" applyAlignment="1">
      <alignment vertical="center"/>
    </xf>
    <xf numFmtId="0" fontId="11" fillId="0" borderId="0" xfId="0" applyFont="1" applyAlignment="1">
      <alignment vertical="top" wrapText="1"/>
    </xf>
    <xf numFmtId="0" fontId="0" fillId="0" borderId="0" xfId="0" applyAlignment="1"/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8"/>
  <sheetViews>
    <sheetView showGridLines="0" tabSelected="1" zoomScale="85" zoomScaleNormal="85" workbookViewId="0"/>
  </sheetViews>
  <sheetFormatPr defaultColWidth="9.140625" defaultRowHeight="15.2" customHeight="1" x14ac:dyDescent="0.2"/>
  <cols>
    <col min="1" max="3" width="42.7109375" style="24" customWidth="1"/>
    <col min="4" max="16384" width="9.140625" style="24"/>
  </cols>
  <sheetData>
    <row r="2" spans="1:14" ht="15.2" customHeight="1" x14ac:dyDescent="0.25">
      <c r="A2" s="23" t="s">
        <v>0</v>
      </c>
    </row>
    <row r="3" spans="1:14" ht="5.0999999999999996" customHeight="1" x14ac:dyDescent="0.2"/>
    <row r="4" spans="1:14" ht="30" customHeight="1" x14ac:dyDescent="0.25">
      <c r="A4" s="366" t="s">
        <v>214</v>
      </c>
      <c r="B4" s="367"/>
      <c r="C4" s="367"/>
    </row>
    <row r="7" spans="1:14" ht="15.2" customHeight="1" x14ac:dyDescent="0.2">
      <c r="A7" s="25" t="s">
        <v>1</v>
      </c>
      <c r="N7" s="27"/>
    </row>
    <row r="8" spans="1:14" ht="15.2" customHeight="1" x14ac:dyDescent="0.2">
      <c r="A8" s="25" t="s">
        <v>215</v>
      </c>
    </row>
  </sheetData>
  <mergeCells count="1">
    <mergeCell ref="A4:C4"/>
  </mergeCells>
  <pageMargins left="0.5" right="0.5" top="0.5" bottom="0.5" header="0.3" footer="0.3"/>
  <pageSetup scale="99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7"/>
  <sheetViews>
    <sheetView showGridLines="0" zoomScale="85" zoomScaleNormal="85" workbookViewId="0"/>
  </sheetViews>
  <sheetFormatPr defaultColWidth="10.7109375" defaultRowHeight="12.75" customHeight="1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6" ht="18" customHeight="1" x14ac:dyDescent="0.25">
      <c r="A1" s="3" t="s">
        <v>375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21" t="s">
        <v>2</v>
      </c>
      <c r="M1" s="117"/>
      <c r="N1" s="117"/>
    </row>
    <row r="2" spans="1:16" ht="15.95" customHeight="1" thickBot="1" x14ac:dyDescent="0.3">
      <c r="A2" s="4" t="s">
        <v>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22" t="s">
        <v>215</v>
      </c>
      <c r="M2" s="117"/>
      <c r="N2" s="117"/>
    </row>
    <row r="6" spans="1:16" ht="12.75" customHeight="1" x14ac:dyDescent="0.25">
      <c r="A6" s="117"/>
      <c r="B6" s="117"/>
      <c r="C6" s="117"/>
      <c r="D6" s="117"/>
      <c r="E6" s="172" t="s">
        <v>229</v>
      </c>
      <c r="F6" s="172"/>
      <c r="G6" s="172"/>
      <c r="H6" s="172"/>
      <c r="I6" s="173"/>
      <c r="J6" s="173"/>
      <c r="K6" s="173"/>
      <c r="L6" s="173"/>
      <c r="M6" s="26"/>
      <c r="N6" s="26"/>
    </row>
    <row r="7" spans="1:16" ht="12.75" customHeight="1" x14ac:dyDescent="0.25">
      <c r="A7" s="117"/>
      <c r="B7" s="117"/>
      <c r="C7" s="117"/>
      <c r="D7" s="117"/>
      <c r="E7" s="174" t="s">
        <v>332</v>
      </c>
      <c r="F7" s="174" t="s">
        <v>354</v>
      </c>
      <c r="G7" s="174" t="s">
        <v>397</v>
      </c>
      <c r="H7" s="174" t="s">
        <v>4</v>
      </c>
      <c r="I7" s="174" t="s">
        <v>5</v>
      </c>
      <c r="J7" s="174" t="s">
        <v>333</v>
      </c>
      <c r="K7" s="174" t="s">
        <v>355</v>
      </c>
      <c r="L7" s="174" t="s">
        <v>398</v>
      </c>
      <c r="M7" s="26"/>
      <c r="N7" s="27" t="s">
        <v>6</v>
      </c>
    </row>
    <row r="8" spans="1:16" ht="12.75" customHeight="1" x14ac:dyDescent="0.25">
      <c r="A8" s="7" t="s">
        <v>7</v>
      </c>
      <c r="B8" s="117"/>
      <c r="C8" s="117"/>
      <c r="D8" s="117"/>
      <c r="E8" s="121"/>
      <c r="F8" s="121"/>
      <c r="G8" s="121"/>
      <c r="H8" s="117"/>
      <c r="I8" s="117"/>
      <c r="J8" s="117"/>
      <c r="K8" s="117"/>
      <c r="L8" s="117"/>
      <c r="M8" s="26"/>
      <c r="N8" s="26"/>
    </row>
    <row r="9" spans="1:16" ht="3" customHeight="1" x14ac:dyDescent="0.25">
      <c r="A9" s="117"/>
      <c r="B9" s="117"/>
      <c r="C9" s="117"/>
      <c r="D9" s="117"/>
      <c r="E9" s="121"/>
      <c r="F9" s="121"/>
      <c r="G9" s="121"/>
      <c r="H9" s="117"/>
      <c r="I9" s="117"/>
      <c r="J9" s="117"/>
      <c r="K9" s="117"/>
      <c r="L9" s="117"/>
      <c r="M9" s="117"/>
      <c r="N9" s="117"/>
    </row>
    <row r="10" spans="1:16" ht="12.75" customHeight="1" x14ac:dyDescent="0.25">
      <c r="A10" s="117" t="s">
        <v>8</v>
      </c>
      <c r="B10" s="117"/>
      <c r="C10" s="117"/>
      <c r="D10" s="117"/>
      <c r="E10" s="304">
        <v>1253.0039999999999</v>
      </c>
      <c r="F10" s="304">
        <v>1341.587</v>
      </c>
      <c r="G10" s="304">
        <v>1419.385</v>
      </c>
      <c r="H10" s="305">
        <f>+G10*(1+H11)</f>
        <v>1525.8388749999999</v>
      </c>
      <c r="I10" s="305">
        <f>+H10*(1+I11)</f>
        <v>1617.3892074999999</v>
      </c>
      <c r="J10" s="305">
        <f>+I10*(1+J11)</f>
        <v>1698.2586678749999</v>
      </c>
      <c r="K10" s="305">
        <f>+J10*(1+K11)</f>
        <v>1757.6977212506247</v>
      </c>
      <c r="L10" s="305">
        <f>+K10*(1+L11)</f>
        <v>1810.4286528881435</v>
      </c>
      <c r="M10" s="117"/>
      <c r="N10" s="117" t="s">
        <v>9</v>
      </c>
    </row>
    <row r="11" spans="1:16" ht="12.75" customHeight="1" x14ac:dyDescent="0.25">
      <c r="A11" s="117" t="s">
        <v>10</v>
      </c>
      <c r="B11" s="117"/>
      <c r="C11" s="117"/>
      <c r="D11" s="117"/>
      <c r="E11" s="122"/>
      <c r="F11" s="123">
        <f>+F10/E10-1</f>
        <v>7.0696502165994657E-2</v>
      </c>
      <c r="G11" s="311">
        <f>+G10/F10-1</f>
        <v>5.7989530309998427E-2</v>
      </c>
      <c r="H11" s="312">
        <v>7.4999999999999997E-2</v>
      </c>
      <c r="I11" s="312">
        <v>0.06</v>
      </c>
      <c r="J11" s="312">
        <v>0.05</v>
      </c>
      <c r="K11" s="312">
        <v>3.5000000000000003E-2</v>
      </c>
      <c r="L11" s="312">
        <v>0.03</v>
      </c>
      <c r="M11" s="117"/>
      <c r="N11" s="117" t="s">
        <v>11</v>
      </c>
    </row>
    <row r="12" spans="1:16" ht="12.75" customHeight="1" x14ac:dyDescent="0.25">
      <c r="A12" s="117"/>
      <c r="B12" s="117"/>
      <c r="C12" s="117"/>
      <c r="D12" s="117"/>
      <c r="E12" s="122"/>
      <c r="F12" s="122"/>
      <c r="G12" s="122"/>
      <c r="H12" s="122"/>
      <c r="I12" s="122"/>
      <c r="J12" s="122"/>
      <c r="K12" s="122"/>
      <c r="L12" s="122"/>
      <c r="M12" s="117"/>
      <c r="N12" s="117"/>
    </row>
    <row r="13" spans="1:16" s="15" customFormat="1" ht="12.75" customHeight="1" x14ac:dyDescent="0.25">
      <c r="A13" s="129" t="s">
        <v>12</v>
      </c>
      <c r="B13" s="118"/>
      <c r="C13" s="118"/>
      <c r="D13" s="118"/>
      <c r="E13" s="14">
        <v>1128.644</v>
      </c>
      <c r="F13" s="14">
        <v>1218.02</v>
      </c>
      <c r="G13" s="14">
        <v>1290.425</v>
      </c>
      <c r="H13" s="306">
        <f>+H10-H14</f>
        <v>1379.3583429999999</v>
      </c>
      <c r="I13" s="306">
        <f>+I10-I14</f>
        <v>1463.7372327874998</v>
      </c>
      <c r="J13" s="306">
        <f>+J10-J14</f>
        <v>1533.5275770911248</v>
      </c>
      <c r="K13" s="306">
        <f>+K10-K14</f>
        <v>1585.4433445680634</v>
      </c>
      <c r="L13" s="306">
        <f>+L10-L14</f>
        <v>1631.1962162522173</v>
      </c>
      <c r="M13" s="117"/>
      <c r="N13" s="117" t="s">
        <v>291</v>
      </c>
      <c r="O13" s="118"/>
      <c r="P13" s="118"/>
    </row>
    <row r="14" spans="1:16" ht="12.75" customHeight="1" x14ac:dyDescent="0.25">
      <c r="A14" s="125" t="s">
        <v>130</v>
      </c>
      <c r="B14" s="126"/>
      <c r="C14" s="126"/>
      <c r="D14" s="126"/>
      <c r="E14" s="127">
        <f>+E10-E13</f>
        <v>124.3599999999999</v>
      </c>
      <c r="F14" s="127">
        <f>+F10-F13</f>
        <v>123.56700000000001</v>
      </c>
      <c r="G14" s="127">
        <f>+G10-G13</f>
        <v>128.96000000000004</v>
      </c>
      <c r="H14" s="127">
        <f>+H15*H10</f>
        <v>146.48053199999998</v>
      </c>
      <c r="I14" s="127">
        <f>+I15*I10</f>
        <v>153.65197471249999</v>
      </c>
      <c r="J14" s="127">
        <f>+J15*J10</f>
        <v>164.731090783875</v>
      </c>
      <c r="K14" s="127">
        <f>+K15*K10</f>
        <v>172.25437668256123</v>
      </c>
      <c r="L14" s="127">
        <f>+L15*L10</f>
        <v>179.23243663592621</v>
      </c>
      <c r="M14" s="117"/>
      <c r="N14" s="117" t="s">
        <v>358</v>
      </c>
      <c r="O14" s="117"/>
      <c r="P14" s="117"/>
    </row>
    <row r="15" spans="1:16" ht="12.75" customHeight="1" x14ac:dyDescent="0.25">
      <c r="A15" s="128" t="s">
        <v>317</v>
      </c>
      <c r="B15" s="117"/>
      <c r="C15" s="117"/>
      <c r="D15" s="117"/>
      <c r="E15" s="123">
        <f>+E14/E$10</f>
        <v>9.9249483640914085E-2</v>
      </c>
      <c r="F15" s="123">
        <f>+F14/F$10</f>
        <v>9.2105096426843738E-2</v>
      </c>
      <c r="G15" s="311">
        <f>+G14/G$10</f>
        <v>9.0856251122845483E-2</v>
      </c>
      <c r="H15" s="312">
        <v>9.6000000000000002E-2</v>
      </c>
      <c r="I15" s="312">
        <v>9.5000000000000001E-2</v>
      </c>
      <c r="J15" s="312">
        <v>9.7000000000000003E-2</v>
      </c>
      <c r="K15" s="312">
        <v>9.8000000000000004E-2</v>
      </c>
      <c r="L15" s="312">
        <v>9.9000000000000005E-2</v>
      </c>
      <c r="M15" s="117"/>
      <c r="N15" s="117"/>
      <c r="O15" s="117"/>
      <c r="P15" s="117"/>
    </row>
    <row r="16" spans="1:16" ht="12.75" customHeight="1" x14ac:dyDescent="0.25">
      <c r="A16" s="117"/>
      <c r="B16" s="117"/>
      <c r="C16" s="117"/>
      <c r="D16" s="117"/>
      <c r="E16" s="122"/>
      <c r="F16" s="122"/>
      <c r="G16" s="288"/>
      <c r="H16" s="122"/>
      <c r="I16" s="122"/>
      <c r="J16" s="122"/>
      <c r="K16" s="122"/>
      <c r="L16" s="122"/>
      <c r="M16" s="117"/>
      <c r="N16" s="117"/>
      <c r="O16" s="131"/>
      <c r="P16" s="131"/>
    </row>
    <row r="17" spans="1:16" ht="12.75" customHeight="1" x14ac:dyDescent="0.25">
      <c r="A17" s="117" t="s">
        <v>13</v>
      </c>
      <c r="B17" s="117"/>
      <c r="C17" s="117"/>
      <c r="D17" s="117"/>
      <c r="E17" s="304">
        <v>19.674074549237169</v>
      </c>
      <c r="F17" s="304">
        <v>22.466661588302248</v>
      </c>
      <c r="G17" s="304">
        <v>24.00492879078525</v>
      </c>
      <c r="H17" s="307">
        <f ca="1">Interest!H20</f>
        <v>26.387970000000003</v>
      </c>
      <c r="I17" s="307">
        <f ca="1">Interest!I20</f>
        <v>25.687970000000004</v>
      </c>
      <c r="J17" s="307">
        <f ca="1">Interest!J20</f>
        <v>23.315046348841495</v>
      </c>
      <c r="K17" s="307">
        <f ca="1">Interest!K20</f>
        <v>20.550369268123436</v>
      </c>
      <c r="L17" s="307">
        <f ca="1">Interest!L20</f>
        <v>18.845274088325532</v>
      </c>
      <c r="M17" s="117"/>
      <c r="N17" s="117" t="s">
        <v>14</v>
      </c>
      <c r="O17" s="117"/>
      <c r="P17" s="117"/>
    </row>
    <row r="18" spans="1:16" ht="12.75" customHeight="1" x14ac:dyDescent="0.25">
      <c r="A18" s="117" t="s">
        <v>374</v>
      </c>
      <c r="B18" s="117"/>
      <c r="C18" s="117"/>
      <c r="D18" s="117"/>
      <c r="E18" s="308">
        <v>-9.0304860000000016</v>
      </c>
      <c r="F18" s="308">
        <v>-8.9065680000000018</v>
      </c>
      <c r="G18" s="308">
        <v>-6.9860319999999998</v>
      </c>
      <c r="H18" s="315">
        <f ca="1">-Interest!H32</f>
        <v>-4.7742896866313984</v>
      </c>
      <c r="I18" s="315">
        <f ca="1">-Interest!I32</f>
        <v>-3.475144733511319</v>
      </c>
      <c r="J18" s="315">
        <f ca="1">-Interest!J32</f>
        <v>-1.5035603807199986</v>
      </c>
      <c r="K18" s="315">
        <f ca="1">-Interest!K32</f>
        <v>-0.75000000000011258</v>
      </c>
      <c r="L18" s="315">
        <f ca="1">-Interest!L32</f>
        <v>-0.75000000000267897</v>
      </c>
      <c r="M18" s="117"/>
      <c r="N18" s="117" t="s">
        <v>426</v>
      </c>
      <c r="O18" s="117"/>
      <c r="P18" s="117"/>
    </row>
    <row r="19" spans="1:16" ht="12.75" customHeight="1" x14ac:dyDescent="0.25">
      <c r="A19" s="117" t="s">
        <v>319</v>
      </c>
      <c r="B19" s="117"/>
      <c r="C19" s="117"/>
      <c r="D19" s="117"/>
      <c r="E19" s="308">
        <v>-7.4999999999999997E-2</v>
      </c>
      <c r="F19" s="308">
        <v>-1.226</v>
      </c>
      <c r="G19" s="308">
        <v>-1.5589999999999999</v>
      </c>
      <c r="H19" s="309">
        <v>-4</v>
      </c>
      <c r="I19" s="309">
        <v>-6</v>
      </c>
      <c r="J19" s="309">
        <v>-7</v>
      </c>
      <c r="K19" s="309">
        <v>-9</v>
      </c>
      <c r="L19" s="309">
        <v>-11</v>
      </c>
      <c r="M19" s="117"/>
      <c r="N19" s="117"/>
      <c r="O19" s="117"/>
      <c r="P19" s="117"/>
    </row>
    <row r="20" spans="1:16" ht="12.75" customHeight="1" x14ac:dyDescent="0.25">
      <c r="A20" s="125" t="s">
        <v>15</v>
      </c>
      <c r="B20" s="126"/>
      <c r="C20" s="126"/>
      <c r="D20" s="126"/>
      <c r="E20" s="127">
        <f t="shared" ref="E20:L20" si="0">SUM(E17:E19)</f>
        <v>10.568588549237168</v>
      </c>
      <c r="F20" s="127">
        <f t="shared" si="0"/>
        <v>12.334093588302245</v>
      </c>
      <c r="G20" s="127">
        <f t="shared" si="0"/>
        <v>15.459896790785249</v>
      </c>
      <c r="H20" s="133">
        <f t="shared" ca="1" si="0"/>
        <v>17.613680313368604</v>
      </c>
      <c r="I20" s="133">
        <f t="shared" ca="1" si="0"/>
        <v>16.212825266488686</v>
      </c>
      <c r="J20" s="133">
        <f t="shared" ca="1" si="0"/>
        <v>14.811485968121495</v>
      </c>
      <c r="K20" s="133">
        <f t="shared" ca="1" si="0"/>
        <v>10.800369268123323</v>
      </c>
      <c r="L20" s="133">
        <f t="shared" ca="1" si="0"/>
        <v>7.0952740883228529</v>
      </c>
      <c r="M20" s="117"/>
      <c r="N20" s="117"/>
      <c r="O20" s="117"/>
      <c r="P20" s="117"/>
    </row>
    <row r="21" spans="1:16" ht="12.75" customHeight="1" x14ac:dyDescent="0.25">
      <c r="A21" s="117"/>
      <c r="B21" s="117"/>
      <c r="C21" s="117"/>
      <c r="D21" s="117"/>
      <c r="E21" s="5"/>
      <c r="F21" s="5"/>
      <c r="G21" s="5"/>
      <c r="H21" s="11"/>
      <c r="I21" s="11"/>
      <c r="J21" s="11"/>
      <c r="K21" s="11"/>
      <c r="L21" s="11"/>
      <c r="M21" s="117"/>
      <c r="N21" s="117"/>
      <c r="O21" s="117"/>
      <c r="P21" s="117"/>
    </row>
    <row r="22" spans="1:16" s="15" customFormat="1" ht="12.75" customHeight="1" x14ac:dyDescent="0.25">
      <c r="A22" s="132" t="s">
        <v>16</v>
      </c>
      <c r="B22" s="118"/>
      <c r="C22" s="118"/>
      <c r="D22" s="118"/>
      <c r="E22" s="133">
        <f t="shared" ref="E22:L22" si="1">+E14-E20</f>
        <v>113.79141145076274</v>
      </c>
      <c r="F22" s="136">
        <f t="shared" si="1"/>
        <v>111.23290641169777</v>
      </c>
      <c r="G22" s="136">
        <f t="shared" si="1"/>
        <v>113.50010320921479</v>
      </c>
      <c r="H22" s="136">
        <f t="shared" ca="1" si="1"/>
        <v>128.86685168663138</v>
      </c>
      <c r="I22" s="136">
        <f t="shared" ca="1" si="1"/>
        <v>137.4391494460113</v>
      </c>
      <c r="J22" s="136">
        <f t="shared" ca="1" si="1"/>
        <v>149.9196048157535</v>
      </c>
      <c r="K22" s="136">
        <f t="shared" ca="1" si="1"/>
        <v>161.45400741443791</v>
      </c>
      <c r="L22" s="136">
        <f t="shared" ca="1" si="1"/>
        <v>172.13716254760334</v>
      </c>
      <c r="M22" s="118"/>
      <c r="N22" s="118" t="s">
        <v>17</v>
      </c>
      <c r="O22" s="118"/>
      <c r="P22" s="118"/>
    </row>
    <row r="23" spans="1:16" ht="12.75" customHeight="1" x14ac:dyDescent="0.25">
      <c r="A23" s="117"/>
      <c r="B23" s="117"/>
      <c r="C23" s="117"/>
      <c r="D23" s="117"/>
      <c r="E23" s="122"/>
      <c r="F23" s="122"/>
      <c r="G23" s="122"/>
      <c r="H23" s="342"/>
      <c r="I23" s="342"/>
      <c r="J23" s="122"/>
      <c r="K23" s="122"/>
      <c r="L23" s="122"/>
      <c r="M23" s="117"/>
      <c r="N23" s="117"/>
      <c r="O23" s="117"/>
      <c r="P23" s="117"/>
    </row>
    <row r="24" spans="1:16" ht="12.75" customHeight="1" x14ac:dyDescent="0.25">
      <c r="A24" s="117" t="s">
        <v>18</v>
      </c>
      <c r="B24" s="117"/>
      <c r="C24" s="117"/>
      <c r="D24" s="117"/>
      <c r="E24" s="308">
        <v>41.480226644200236</v>
      </c>
      <c r="F24" s="308">
        <v>40.377545027446288</v>
      </c>
      <c r="G24" s="308">
        <v>29.850527144023481</v>
      </c>
      <c r="H24" s="310">
        <f ca="1">+H22*H29</f>
        <v>34.149715696957315</v>
      </c>
      <c r="I24" s="310">
        <f ca="1">+I22*I29</f>
        <v>36.421374603192994</v>
      </c>
      <c r="J24" s="310">
        <f ca="1">+J22*J29</f>
        <v>39.728695276174683</v>
      </c>
      <c r="K24" s="310">
        <f ca="1">+K22*K29</f>
        <v>42.78531196482605</v>
      </c>
      <c r="L24" s="310">
        <f ca="1">+L22*L29</f>
        <v>45.616348075114885</v>
      </c>
      <c r="M24" s="117"/>
      <c r="N24" s="117" t="s">
        <v>19</v>
      </c>
      <c r="O24" s="117"/>
      <c r="P24" s="117"/>
    </row>
    <row r="25" spans="1:16" ht="12.75" customHeight="1" x14ac:dyDescent="0.25">
      <c r="A25" s="125" t="s">
        <v>20</v>
      </c>
      <c r="B25" s="126"/>
      <c r="C25" s="126"/>
      <c r="D25" s="126"/>
      <c r="E25" s="127">
        <f>+E22-E24</f>
        <v>72.311184806562494</v>
      </c>
      <c r="F25" s="127">
        <f t="shared" ref="F25:L25" si="2">+F22-F24</f>
        <v>70.855361384251481</v>
      </c>
      <c r="G25" s="127">
        <f t="shared" si="2"/>
        <v>83.649576065191297</v>
      </c>
      <c r="H25" s="127">
        <f t="shared" ca="1" si="2"/>
        <v>94.717135989674063</v>
      </c>
      <c r="I25" s="127">
        <f t="shared" ca="1" si="2"/>
        <v>101.01777484281831</v>
      </c>
      <c r="J25" s="127">
        <f t="shared" ca="1" si="2"/>
        <v>110.19090953957883</v>
      </c>
      <c r="K25" s="127">
        <f t="shared" ca="1" si="2"/>
        <v>118.66869544961186</v>
      </c>
      <c r="L25" s="127">
        <f t="shared" ca="1" si="2"/>
        <v>126.52081447248845</v>
      </c>
      <c r="M25" s="117"/>
      <c r="N25" s="117" t="s">
        <v>21</v>
      </c>
      <c r="O25" s="117"/>
      <c r="P25" s="117"/>
    </row>
    <row r="26" spans="1:16" ht="12.75" customHeight="1" x14ac:dyDescent="0.25">
      <c r="A26" s="128" t="s">
        <v>318</v>
      </c>
      <c r="B26" s="117"/>
      <c r="C26" s="117"/>
      <c r="D26" s="117"/>
      <c r="E26" s="123">
        <f t="shared" ref="E26:L26" si="3">+E25/E$10</f>
        <v>5.7710258551898076E-2</v>
      </c>
      <c r="F26" s="123">
        <f t="shared" si="3"/>
        <v>5.2814585549987796E-2</v>
      </c>
      <c r="G26" s="123">
        <f t="shared" si="3"/>
        <v>5.8933676250764448E-2</v>
      </c>
      <c r="H26" s="123">
        <f t="shared" ca="1" si="3"/>
        <v>6.2075450784195067E-2</v>
      </c>
      <c r="I26" s="123">
        <f t="shared" ca="1" si="3"/>
        <v>6.2457307353349777E-2</v>
      </c>
      <c r="J26" s="123">
        <f t="shared" ca="1" si="3"/>
        <v>6.4884644267683145E-2</v>
      </c>
      <c r="K26" s="123">
        <f t="shared" ca="1" si="3"/>
        <v>6.7513710699458357E-2</v>
      </c>
      <c r="L26" s="123">
        <f t="shared" ca="1" si="3"/>
        <v>6.988445209959096E-2</v>
      </c>
      <c r="M26" s="117"/>
      <c r="N26" s="117" t="s">
        <v>22</v>
      </c>
      <c r="O26" s="117"/>
      <c r="P26" s="117"/>
    </row>
    <row r="27" spans="1:16" ht="12.75" customHeight="1" x14ac:dyDescent="0.25">
      <c r="A27" s="117"/>
      <c r="B27" s="117"/>
      <c r="C27" s="117"/>
      <c r="D27" s="117"/>
      <c r="E27" s="122"/>
      <c r="F27" s="122"/>
      <c r="G27" s="122"/>
      <c r="H27" s="281"/>
      <c r="I27" s="281"/>
      <c r="J27" s="281"/>
      <c r="K27" s="122"/>
      <c r="L27" s="122"/>
      <c r="M27" s="117"/>
      <c r="N27" s="117"/>
      <c r="O27" s="117"/>
      <c r="P27" s="117"/>
    </row>
    <row r="28" spans="1:16" ht="12.75" customHeight="1" x14ac:dyDescent="0.25">
      <c r="A28" s="117" t="s">
        <v>23</v>
      </c>
      <c r="B28" s="117"/>
      <c r="C28" s="117"/>
      <c r="D28" s="117"/>
      <c r="E28" s="122"/>
      <c r="F28" s="122"/>
      <c r="G28" s="122"/>
      <c r="H28" s="122"/>
      <c r="I28" s="122"/>
      <c r="J28" s="122"/>
      <c r="K28" s="122"/>
      <c r="L28" s="122"/>
      <c r="M28" s="117"/>
      <c r="N28" s="117"/>
      <c r="O28" s="117"/>
      <c r="P28" s="117"/>
    </row>
    <row r="29" spans="1:16" ht="12.75" customHeight="1" x14ac:dyDescent="0.25">
      <c r="A29" s="126" t="s">
        <v>24</v>
      </c>
      <c r="B29" s="126"/>
      <c r="C29" s="126"/>
      <c r="D29" s="126"/>
      <c r="E29" s="134">
        <f>+E24/E22</f>
        <v>0.36452862404425512</v>
      </c>
      <c r="F29" s="134">
        <f>+F24/F22</f>
        <v>0.36299999999999999</v>
      </c>
      <c r="G29" s="313">
        <f>+G24/G22</f>
        <v>0.26299999999999996</v>
      </c>
      <c r="H29" s="314">
        <v>0.26500000000000001</v>
      </c>
      <c r="I29" s="314">
        <v>0.26500000000000001</v>
      </c>
      <c r="J29" s="314">
        <v>0.26500000000000001</v>
      </c>
      <c r="K29" s="314">
        <v>0.26500000000000001</v>
      </c>
      <c r="L29" s="314">
        <v>0.26500000000000001</v>
      </c>
      <c r="M29" s="117"/>
      <c r="N29" s="117" t="s">
        <v>25</v>
      </c>
      <c r="O29" s="117"/>
      <c r="P29" s="117"/>
    </row>
    <row r="30" spans="1:16" ht="12.75" customHeight="1" x14ac:dyDescent="0.25">
      <c r="A30" s="91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</row>
    <row r="31" spans="1:16" ht="12.75" customHeight="1" x14ac:dyDescent="0.25">
      <c r="A31" s="91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</row>
    <row r="32" spans="1:16" ht="12.75" customHeight="1" x14ac:dyDescent="0.25">
      <c r="A32" s="272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</row>
    <row r="42" spans="1:14" ht="12.75" customHeight="1" x14ac:dyDescent="0.25">
      <c r="A42" s="284"/>
    </row>
    <row r="43" spans="1:14" ht="12.75" customHeight="1" x14ac:dyDescent="0.25">
      <c r="A43" s="284"/>
    </row>
    <row r="45" spans="1:14" ht="12.75" customHeight="1" x14ac:dyDescent="0.25">
      <c r="A45" s="117"/>
      <c r="B45" s="117"/>
      <c r="C45" s="117"/>
      <c r="D45" s="117"/>
      <c r="E45" s="117"/>
      <c r="F45" s="117"/>
      <c r="G45" s="117"/>
      <c r="H45" s="135"/>
      <c r="I45" s="135"/>
      <c r="J45" s="135"/>
      <c r="K45" s="135"/>
      <c r="L45" s="117"/>
      <c r="M45" s="117"/>
      <c r="N45" s="117"/>
    </row>
    <row r="46" spans="1:14" ht="12.75" customHeight="1" x14ac:dyDescent="0.25">
      <c r="A46" s="117"/>
      <c r="B46" s="117"/>
      <c r="C46" s="117"/>
      <c r="D46" s="117"/>
      <c r="E46" s="117"/>
      <c r="F46" s="117"/>
      <c r="G46" s="117"/>
      <c r="H46" s="135"/>
      <c r="I46" s="135"/>
      <c r="J46" s="135"/>
      <c r="K46" s="135"/>
      <c r="L46" s="117"/>
      <c r="M46" s="117"/>
      <c r="N46" s="117"/>
    </row>
    <row r="47" spans="1:14" ht="12.75" customHeight="1" x14ac:dyDescent="0.25">
      <c r="A47" s="129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showGridLines="0" zoomScale="85" zoomScaleNormal="85" zoomScaleSheetLayoutView="91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375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21" t="s">
        <v>2</v>
      </c>
      <c r="M1" s="117"/>
      <c r="N1" s="117"/>
    </row>
    <row r="2" spans="1:14" ht="15.95" customHeight="1" thickBot="1" x14ac:dyDescent="0.3">
      <c r="A2" s="4" t="s">
        <v>26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22" t="s">
        <v>215</v>
      </c>
      <c r="M2" s="117"/>
      <c r="N2" s="117"/>
    </row>
    <row r="3" spans="1:14" ht="12.7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1:14" ht="12.75" customHeight="1" x14ac:dyDescent="0.25">
      <c r="A4" s="117"/>
      <c r="B4" s="117"/>
      <c r="C4" s="117"/>
      <c r="D4" s="117"/>
      <c r="E4" s="135"/>
      <c r="F4" s="135"/>
      <c r="G4" s="117"/>
      <c r="H4" s="117"/>
      <c r="I4" s="117"/>
      <c r="J4" s="117"/>
      <c r="K4" s="117"/>
      <c r="L4" s="117"/>
      <c r="M4" s="117"/>
      <c r="N4" s="117"/>
    </row>
    <row r="5" spans="1:14" ht="12.75" customHeight="1" x14ac:dyDescent="0.25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</row>
    <row r="6" spans="1:14" ht="12.75" customHeight="1" x14ac:dyDescent="0.25">
      <c r="A6" s="117"/>
      <c r="B6" s="117"/>
      <c r="C6" s="117"/>
      <c r="D6" s="117"/>
      <c r="E6" s="172" t="s">
        <v>229</v>
      </c>
      <c r="F6" s="172"/>
      <c r="G6" s="172"/>
      <c r="H6" s="172"/>
      <c r="I6" s="173"/>
      <c r="J6" s="173"/>
      <c r="K6" s="173"/>
      <c r="L6" s="173"/>
      <c r="M6" s="26"/>
      <c r="N6" s="26"/>
    </row>
    <row r="7" spans="1:14" ht="12.75" customHeight="1" x14ac:dyDescent="0.25">
      <c r="A7" s="117"/>
      <c r="B7" s="117"/>
      <c r="C7" s="117"/>
      <c r="D7" s="117"/>
      <c r="E7" s="174" t="s">
        <v>332</v>
      </c>
      <c r="F7" s="174" t="s">
        <v>354</v>
      </c>
      <c r="G7" s="174" t="s">
        <v>397</v>
      </c>
      <c r="H7" s="174" t="s">
        <v>4</v>
      </c>
      <c r="I7" s="174" t="s">
        <v>5</v>
      </c>
      <c r="J7" s="174" t="s">
        <v>333</v>
      </c>
      <c r="K7" s="174" t="s">
        <v>355</v>
      </c>
      <c r="L7" s="174" t="s">
        <v>398</v>
      </c>
      <c r="M7" s="26"/>
      <c r="N7" s="27" t="s">
        <v>6</v>
      </c>
    </row>
    <row r="8" spans="1:14" ht="12.75" customHeight="1" x14ac:dyDescent="0.25">
      <c r="A8" s="7" t="s">
        <v>27</v>
      </c>
      <c r="B8" s="117"/>
      <c r="C8" s="117"/>
      <c r="D8" s="117"/>
      <c r="E8" s="121"/>
      <c r="F8" s="121"/>
      <c r="G8" s="121"/>
      <c r="H8" s="117"/>
      <c r="I8" s="117"/>
      <c r="J8" s="117"/>
      <c r="K8" s="117"/>
      <c r="L8" s="117"/>
      <c r="M8" s="26"/>
      <c r="N8" s="26"/>
    </row>
    <row r="9" spans="1:14" ht="3" customHeight="1" x14ac:dyDescent="0.25">
      <c r="A9" s="117"/>
      <c r="B9" s="117"/>
      <c r="C9" s="117"/>
      <c r="D9" s="117"/>
      <c r="E9" s="136"/>
      <c r="F9" s="136"/>
      <c r="G9" s="136"/>
      <c r="H9" s="122"/>
      <c r="I9" s="122"/>
      <c r="J9" s="122"/>
      <c r="K9" s="122"/>
      <c r="L9" s="122"/>
      <c r="M9" s="117"/>
      <c r="N9" s="117"/>
    </row>
    <row r="10" spans="1:14" ht="12.75" customHeight="1" x14ac:dyDescent="0.25">
      <c r="A10" s="117" t="s">
        <v>28</v>
      </c>
      <c r="B10" s="117"/>
      <c r="C10" s="117"/>
      <c r="D10" s="117"/>
      <c r="E10" s="304">
        <v>274.32188480656254</v>
      </c>
      <c r="F10" s="304">
        <v>277.49724619081405</v>
      </c>
      <c r="G10" s="304">
        <v>161.84702225600537</v>
      </c>
      <c r="H10" s="307">
        <f ca="1">+'Cash Flow Statement'!H27</f>
        <v>156.43895685275456</v>
      </c>
      <c r="I10" s="307">
        <f ca="1">+'Cash Flow Statement'!I27</f>
        <v>75.237358714666726</v>
      </c>
      <c r="J10" s="307">
        <f ca="1">+'Cash Flow Statement'!J27</f>
        <v>24.999999999999972</v>
      </c>
      <c r="K10" s="307">
        <f ca="1">+'Cash Flow Statement'!K27</f>
        <v>24.999999999996675</v>
      </c>
      <c r="L10" s="307">
        <f ca="1">+'Cash Flow Statement'!L27</f>
        <v>25.000000000098026</v>
      </c>
      <c r="M10" s="117"/>
      <c r="N10" s="117" t="s">
        <v>29</v>
      </c>
    </row>
    <row r="11" spans="1:14" ht="12.75" customHeight="1" x14ac:dyDescent="0.25">
      <c r="A11" s="117" t="s">
        <v>30</v>
      </c>
      <c r="B11" s="117"/>
      <c r="C11" s="117"/>
      <c r="D11" s="117"/>
      <c r="E11" s="308">
        <v>21.815000000000001</v>
      </c>
      <c r="F11" s="308">
        <v>23.667000000000002</v>
      </c>
      <c r="G11" s="308">
        <v>24.562999999999999</v>
      </c>
      <c r="H11" s="315">
        <f>+'Working Capital'!H10</f>
        <v>27.172473116438354</v>
      </c>
      <c r="I11" s="315">
        <f>+'Working Capital'!I10</f>
        <v>28.802821503424656</v>
      </c>
      <c r="J11" s="315">
        <f>+'Working Capital'!J10</f>
        <v>30.160331533299178</v>
      </c>
      <c r="K11" s="315">
        <f>+'Working Capital'!K10</f>
        <v>31.301466268846742</v>
      </c>
      <c r="L11" s="315">
        <f>+'Working Capital'!L10</f>
        <v>32.240510256912145</v>
      </c>
      <c r="M11" s="117"/>
      <c r="N11" s="117" t="s">
        <v>31</v>
      </c>
    </row>
    <row r="12" spans="1:14" ht="12.75" customHeight="1" x14ac:dyDescent="0.25">
      <c r="A12" s="117" t="s">
        <v>32</v>
      </c>
      <c r="B12" s="117"/>
      <c r="C12" s="117"/>
      <c r="D12" s="117"/>
      <c r="E12" s="308">
        <v>37.122999999999998</v>
      </c>
      <c r="F12" s="308">
        <v>38.615000000000002</v>
      </c>
      <c r="G12" s="308">
        <v>46.481999999999999</v>
      </c>
      <c r="H12" s="315">
        <f>+'Working Capital'!H11</f>
        <v>45.775166249999998</v>
      </c>
      <c r="I12" s="315">
        <f>+'Working Capital'!I11</f>
        <v>48.521676224999993</v>
      </c>
      <c r="J12" s="315">
        <f>+'Working Capital'!J11</f>
        <v>50.947760036249996</v>
      </c>
      <c r="K12" s="315">
        <f>+'Working Capital'!K11</f>
        <v>52.730931637518736</v>
      </c>
      <c r="L12" s="315">
        <f>+'Working Capital'!L11</f>
        <v>54.312859586644301</v>
      </c>
      <c r="M12" s="117"/>
      <c r="N12" s="117" t="s">
        <v>31</v>
      </c>
    </row>
    <row r="13" spans="1:14" ht="12.75" customHeight="1" x14ac:dyDescent="0.25">
      <c r="A13" s="125" t="s">
        <v>33</v>
      </c>
      <c r="B13" s="126"/>
      <c r="C13" s="126"/>
      <c r="D13" s="126"/>
      <c r="E13" s="316">
        <f t="shared" ref="E13:L13" si="0">SUM(E10:E12)</f>
        <v>333.25988480656252</v>
      </c>
      <c r="F13" s="316">
        <f t="shared" si="0"/>
        <v>339.77924619081409</v>
      </c>
      <c r="G13" s="316">
        <f t="shared" si="0"/>
        <v>232.89202225600536</v>
      </c>
      <c r="H13" s="317">
        <f t="shared" ca="1" si="0"/>
        <v>229.38659621919288</v>
      </c>
      <c r="I13" s="317">
        <f t="shared" ca="1" si="0"/>
        <v>152.56185644309136</v>
      </c>
      <c r="J13" s="317">
        <f t="shared" ca="1" si="0"/>
        <v>106.10809156954915</v>
      </c>
      <c r="K13" s="317">
        <f t="shared" ca="1" si="0"/>
        <v>109.03239790636215</v>
      </c>
      <c r="L13" s="317">
        <f t="shared" ca="1" si="0"/>
        <v>111.55336984365448</v>
      </c>
      <c r="M13" s="117"/>
      <c r="N13" s="117"/>
    </row>
    <row r="14" spans="1:14" ht="12.75" customHeight="1" x14ac:dyDescent="0.25">
      <c r="A14" s="117"/>
      <c r="B14" s="117"/>
      <c r="C14" s="117"/>
      <c r="D14" s="117"/>
      <c r="E14" s="117"/>
      <c r="F14" s="122"/>
      <c r="G14" s="122"/>
      <c r="H14" s="16"/>
      <c r="I14" s="16"/>
      <c r="J14" s="16"/>
      <c r="K14" s="16"/>
      <c r="L14" s="16"/>
      <c r="M14" s="117"/>
      <c r="N14" s="117"/>
    </row>
    <row r="15" spans="1:14" ht="12.75" customHeight="1" x14ac:dyDescent="0.25">
      <c r="A15" s="117" t="s">
        <v>394</v>
      </c>
      <c r="B15" s="117"/>
      <c r="C15" s="117"/>
      <c r="D15" s="117"/>
      <c r="E15" s="304">
        <v>857.76499999999999</v>
      </c>
      <c r="F15" s="304">
        <v>947.29200000000003</v>
      </c>
      <c r="G15" s="304">
        <v>1214.018</v>
      </c>
      <c r="H15" s="307">
        <f>+'PP&amp;E'!H13</f>
        <v>1244.5347775</v>
      </c>
      <c r="I15" s="307">
        <f>+'PP&amp;E'!I13</f>
        <v>1349.6650759874999</v>
      </c>
      <c r="J15" s="307">
        <f>+'PP&amp;E'!J13</f>
        <v>1349.6650759874999</v>
      </c>
      <c r="K15" s="307">
        <f>+'PP&amp;E'!K13</f>
        <v>1358.4535645937531</v>
      </c>
      <c r="L15" s="307">
        <f>+'PP&amp;E'!L13</f>
        <v>1358.4535645937531</v>
      </c>
      <c r="M15" s="117"/>
      <c r="N15" s="117" t="s">
        <v>421</v>
      </c>
    </row>
    <row r="16" spans="1:14" ht="12.75" customHeight="1" x14ac:dyDescent="0.25">
      <c r="A16" s="117" t="s">
        <v>34</v>
      </c>
      <c r="B16" s="117"/>
      <c r="C16" s="117"/>
      <c r="D16" s="117"/>
      <c r="E16" s="308">
        <v>66.622</v>
      </c>
      <c r="F16" s="308">
        <v>73.459000000000003</v>
      </c>
      <c r="G16" s="308">
        <v>49.515999999999998</v>
      </c>
      <c r="H16" s="308">
        <v>49.515999999999998</v>
      </c>
      <c r="I16" s="308">
        <v>49.515999999999998</v>
      </c>
      <c r="J16" s="308">
        <v>49.515999999999998</v>
      </c>
      <c r="K16" s="308">
        <v>49.515999999999998</v>
      </c>
      <c r="L16" s="308">
        <v>49.515999999999998</v>
      </c>
      <c r="M16" s="117"/>
      <c r="N16" s="117"/>
    </row>
    <row r="17" spans="1:14" ht="12.75" customHeight="1" x14ac:dyDescent="0.25">
      <c r="A17" s="125" t="s">
        <v>35</v>
      </c>
      <c r="B17" s="126"/>
      <c r="C17" s="126"/>
      <c r="D17" s="126"/>
      <c r="E17" s="316">
        <f t="shared" ref="E17:L17" si="1">SUM(E15:E16,E13)</f>
        <v>1257.6468848065624</v>
      </c>
      <c r="F17" s="316">
        <f t="shared" si="1"/>
        <v>1360.5302461908141</v>
      </c>
      <c r="G17" s="316">
        <f t="shared" si="1"/>
        <v>1496.4260222560056</v>
      </c>
      <c r="H17" s="317">
        <f t="shared" ca="1" si="1"/>
        <v>1523.4373737191929</v>
      </c>
      <c r="I17" s="317">
        <f t="shared" ca="1" si="1"/>
        <v>1551.7429324305913</v>
      </c>
      <c r="J17" s="317">
        <f t="shared" ca="1" si="1"/>
        <v>1505.289167557049</v>
      </c>
      <c r="K17" s="317">
        <f t="shared" ca="1" si="1"/>
        <v>1517.0019625001153</v>
      </c>
      <c r="L17" s="317">
        <f t="shared" ca="1" si="1"/>
        <v>1519.5229344374077</v>
      </c>
      <c r="M17" s="117"/>
      <c r="N17" s="117"/>
    </row>
    <row r="18" spans="1:14" ht="12.75" customHeight="1" x14ac:dyDescent="0.25">
      <c r="A18" s="117"/>
      <c r="B18" s="117"/>
      <c r="C18" s="117"/>
      <c r="D18" s="117"/>
      <c r="E18" s="117"/>
      <c r="F18" s="122"/>
      <c r="G18" s="122"/>
      <c r="H18" s="16"/>
      <c r="I18" s="16"/>
      <c r="J18" s="16"/>
      <c r="K18" s="16"/>
      <c r="L18" s="16"/>
      <c r="M18" s="117"/>
      <c r="N18" s="117"/>
    </row>
    <row r="19" spans="1:14" ht="12.75" customHeight="1" x14ac:dyDescent="0.25">
      <c r="A19" s="117" t="s">
        <v>227</v>
      </c>
      <c r="B19" s="117"/>
      <c r="C19" s="117"/>
      <c r="D19" s="117"/>
      <c r="E19" s="304">
        <v>6.9009999999999998</v>
      </c>
      <c r="F19" s="304">
        <v>16.010000000000002</v>
      </c>
      <c r="G19" s="304">
        <v>20.108000000000001</v>
      </c>
      <c r="H19" s="307">
        <f>+'Working Capital'!H14</f>
        <v>19.0729859375</v>
      </c>
      <c r="I19" s="307">
        <f>+'Working Capital'!I14</f>
        <v>20.217365093750001</v>
      </c>
      <c r="J19" s="307">
        <f>+'Working Capital'!J14</f>
        <v>21.228233348437499</v>
      </c>
      <c r="K19" s="307">
        <f>+'Working Capital'!K14</f>
        <v>21.971221515632809</v>
      </c>
      <c r="L19" s="307">
        <f>+'Working Capital'!L14</f>
        <v>22.630358161101796</v>
      </c>
      <c r="M19" s="117"/>
      <c r="N19" s="117" t="s">
        <v>31</v>
      </c>
    </row>
    <row r="20" spans="1:14" ht="12.75" customHeight="1" x14ac:dyDescent="0.25">
      <c r="A20" s="117" t="s">
        <v>334</v>
      </c>
      <c r="B20" s="117"/>
      <c r="C20" s="117"/>
      <c r="D20" s="117"/>
      <c r="E20" s="308">
        <v>115.131</v>
      </c>
      <c r="F20" s="308">
        <v>96.661000000000001</v>
      </c>
      <c r="G20" s="308">
        <v>105.127</v>
      </c>
      <c r="H20" s="315">
        <f>+'Working Capital'!H15</f>
        <v>114.43791562499999</v>
      </c>
      <c r="I20" s="315">
        <f>+'Working Capital'!I15</f>
        <v>121.30419056249998</v>
      </c>
      <c r="J20" s="315">
        <f>+'Working Capital'!J15</f>
        <v>127.36940009062499</v>
      </c>
      <c r="K20" s="315">
        <f>+'Working Capital'!K15</f>
        <v>131.82732909379683</v>
      </c>
      <c r="L20" s="315">
        <f>+'Working Capital'!L15</f>
        <v>135.78214896661075</v>
      </c>
      <c r="M20" s="117"/>
      <c r="N20" s="117" t="s">
        <v>31</v>
      </c>
    </row>
    <row r="21" spans="1:14" ht="12.75" customHeight="1" x14ac:dyDescent="0.25">
      <c r="A21" s="117" t="s">
        <v>36</v>
      </c>
      <c r="B21" s="117"/>
      <c r="C21" s="117"/>
      <c r="D21" s="117"/>
      <c r="E21" s="308">
        <v>197.136</v>
      </c>
      <c r="F21" s="308">
        <v>194.001</v>
      </c>
      <c r="G21" s="308">
        <v>210.184</v>
      </c>
      <c r="H21" s="315">
        <f>+'Working Capital'!H16</f>
        <v>228.87583124999998</v>
      </c>
      <c r="I21" s="315">
        <f>+'Working Capital'!I16</f>
        <v>242.60838112499997</v>
      </c>
      <c r="J21" s="315">
        <f>+'Working Capital'!J16</f>
        <v>254.73880018124999</v>
      </c>
      <c r="K21" s="315">
        <f>+'Working Capital'!K16</f>
        <v>263.65465818759367</v>
      </c>
      <c r="L21" s="315">
        <f>+'Working Capital'!L16</f>
        <v>271.5642979332215</v>
      </c>
      <c r="M21" s="117"/>
      <c r="N21" s="117" t="s">
        <v>31</v>
      </c>
    </row>
    <row r="22" spans="1:14" ht="12.75" customHeight="1" x14ac:dyDescent="0.25">
      <c r="A22" s="125" t="s">
        <v>37</v>
      </c>
      <c r="B22" s="126"/>
      <c r="C22" s="126"/>
      <c r="D22" s="126"/>
      <c r="E22" s="316">
        <f t="shared" ref="E22:L22" si="2">SUM(E19:E21)</f>
        <v>319.16800000000001</v>
      </c>
      <c r="F22" s="316">
        <f t="shared" si="2"/>
        <v>306.67200000000003</v>
      </c>
      <c r="G22" s="316">
        <f t="shared" si="2"/>
        <v>335.41899999999998</v>
      </c>
      <c r="H22" s="317">
        <f t="shared" si="2"/>
        <v>362.38673281249999</v>
      </c>
      <c r="I22" s="317">
        <f t="shared" si="2"/>
        <v>384.12993678124997</v>
      </c>
      <c r="J22" s="317">
        <f t="shared" si="2"/>
        <v>403.3364336203125</v>
      </c>
      <c r="K22" s="317">
        <f t="shared" si="2"/>
        <v>417.45320879702331</v>
      </c>
      <c r="L22" s="317">
        <f t="shared" si="2"/>
        <v>429.97680506093405</v>
      </c>
      <c r="M22" s="117"/>
      <c r="N22" s="117"/>
    </row>
    <row r="23" spans="1:14" ht="12.75" customHeight="1" x14ac:dyDescent="0.25">
      <c r="A23" s="117"/>
      <c r="B23" s="117"/>
      <c r="C23" s="117"/>
      <c r="D23" s="117"/>
      <c r="E23" s="117"/>
      <c r="F23" s="122"/>
      <c r="G23" s="122"/>
      <c r="H23" s="16"/>
      <c r="I23" s="16"/>
      <c r="J23" s="16"/>
      <c r="K23" s="16"/>
      <c r="L23" s="16"/>
      <c r="M23" s="117"/>
      <c r="N23" s="117"/>
    </row>
    <row r="24" spans="1:14" ht="12.75" customHeight="1" x14ac:dyDescent="0.25">
      <c r="A24" s="117" t="s">
        <v>38</v>
      </c>
      <c r="B24" s="117"/>
      <c r="C24" s="117"/>
      <c r="D24" s="117"/>
      <c r="E24" s="304">
        <v>588.17999999999995</v>
      </c>
      <c r="F24" s="304">
        <v>695.26</v>
      </c>
      <c r="G24" s="304">
        <v>763.94200000000001</v>
      </c>
      <c r="H24" s="307">
        <f ca="1">+Debt!H37</f>
        <v>743.94200000000001</v>
      </c>
      <c r="I24" s="307">
        <f ca="1">+Debt!I37</f>
        <v>723.94200000000001</v>
      </c>
      <c r="J24" s="307">
        <f ca="1">+Debt!J37</f>
        <v>622.41375658943298</v>
      </c>
      <c r="K24" s="307">
        <f ca="1">+Debt!K37</f>
        <v>576.29686128546609</v>
      </c>
      <c r="L24" s="307">
        <f ca="1">+Debt!L37</f>
        <v>515.40741126947296</v>
      </c>
      <c r="M24" s="117"/>
      <c r="N24" s="117" t="s">
        <v>39</v>
      </c>
    </row>
    <row r="25" spans="1:14" ht="12.75" customHeight="1" x14ac:dyDescent="0.25">
      <c r="A25" s="117" t="s">
        <v>40</v>
      </c>
      <c r="B25" s="117"/>
      <c r="C25" s="117"/>
      <c r="D25" s="117"/>
      <c r="E25" s="308">
        <v>49.255000000000003</v>
      </c>
      <c r="F25" s="308">
        <v>78.606999999999999</v>
      </c>
      <c r="G25" s="308">
        <v>122.14</v>
      </c>
      <c r="H25" s="308">
        <v>122.14</v>
      </c>
      <c r="I25" s="308">
        <v>122.14</v>
      </c>
      <c r="J25" s="308">
        <v>122.14</v>
      </c>
      <c r="K25" s="308">
        <v>122.14</v>
      </c>
      <c r="L25" s="308">
        <v>122.14</v>
      </c>
      <c r="M25" s="117"/>
      <c r="N25" s="117"/>
    </row>
    <row r="26" spans="1:14" ht="12.75" customHeight="1" x14ac:dyDescent="0.25">
      <c r="A26" s="125" t="s">
        <v>41</v>
      </c>
      <c r="B26" s="126"/>
      <c r="C26" s="126"/>
      <c r="D26" s="126"/>
      <c r="E26" s="127">
        <f t="shared" ref="E26:L26" si="3">SUM(E24:E25,E22)</f>
        <v>956.60299999999995</v>
      </c>
      <c r="F26" s="316">
        <f t="shared" si="3"/>
        <v>1080.539</v>
      </c>
      <c r="G26" s="316">
        <f t="shared" si="3"/>
        <v>1221.501</v>
      </c>
      <c r="H26" s="317">
        <f t="shared" ca="1" si="3"/>
        <v>1228.4687328125001</v>
      </c>
      <c r="I26" s="317">
        <f t="shared" ca="1" si="3"/>
        <v>1230.21193678125</v>
      </c>
      <c r="J26" s="317">
        <f t="shared" ca="1" si="3"/>
        <v>1147.8901902097455</v>
      </c>
      <c r="K26" s="317">
        <f t="shared" ca="1" si="3"/>
        <v>1115.8900700824893</v>
      </c>
      <c r="L26" s="317">
        <f t="shared" ca="1" si="3"/>
        <v>1067.5242163304069</v>
      </c>
      <c r="M26" s="118"/>
      <c r="N26" s="117"/>
    </row>
    <row r="27" spans="1:14" ht="12.75" customHeight="1" x14ac:dyDescent="0.25">
      <c r="A27" s="117"/>
      <c r="B27" s="117"/>
      <c r="C27" s="117"/>
      <c r="D27" s="117"/>
      <c r="E27" s="117"/>
      <c r="F27" s="122"/>
      <c r="G27" s="122"/>
      <c r="H27" s="16"/>
      <c r="I27" s="16"/>
      <c r="J27" s="16"/>
      <c r="K27" s="16"/>
      <c r="L27" s="16"/>
      <c r="M27" s="117"/>
      <c r="N27" s="117"/>
    </row>
    <row r="28" spans="1:14" ht="12.75" customHeight="1" x14ac:dyDescent="0.25">
      <c r="A28" s="117" t="s">
        <v>42</v>
      </c>
      <c r="B28" s="117"/>
      <c r="C28" s="117"/>
      <c r="D28" s="117"/>
      <c r="E28" s="308">
        <v>301.04388480656257</v>
      </c>
      <c r="F28" s="308">
        <v>279.99124619081402</v>
      </c>
      <c r="G28" s="308">
        <v>274.92502225600526</v>
      </c>
      <c r="H28" s="315">
        <f ca="1">+Equity!H14</f>
        <v>294.96864090669283</v>
      </c>
      <c r="I28" s="315">
        <f ca="1">+Equity!I14</f>
        <v>321.53099564934126</v>
      </c>
      <c r="J28" s="315">
        <f ca="1">+Equity!J14</f>
        <v>357.39897734730363</v>
      </c>
      <c r="K28" s="315">
        <f ca="1">+Equity!K14</f>
        <v>401.11189241762918</v>
      </c>
      <c r="L28" s="315">
        <f ca="1">+Equity!L14</f>
        <v>451.9987181068949</v>
      </c>
      <c r="M28" s="117"/>
      <c r="N28" s="117" t="s">
        <v>43</v>
      </c>
    </row>
    <row r="29" spans="1:14" ht="12.75" customHeight="1" x14ac:dyDescent="0.25">
      <c r="A29" s="125" t="s">
        <v>44</v>
      </c>
      <c r="B29" s="126"/>
      <c r="C29" s="126"/>
      <c r="D29" s="126"/>
      <c r="E29" s="316">
        <f t="shared" ref="E29:L29" si="4">SUM(E28,E26)</f>
        <v>1257.6468848065624</v>
      </c>
      <c r="F29" s="316">
        <f t="shared" si="4"/>
        <v>1360.5302461908141</v>
      </c>
      <c r="G29" s="316">
        <f t="shared" si="4"/>
        <v>1496.4260222560051</v>
      </c>
      <c r="H29" s="316">
        <f t="shared" ca="1" si="4"/>
        <v>1523.4373737191929</v>
      </c>
      <c r="I29" s="316">
        <f t="shared" ca="1" si="4"/>
        <v>1551.7429324305913</v>
      </c>
      <c r="J29" s="316">
        <f t="shared" ca="1" si="4"/>
        <v>1505.289167557049</v>
      </c>
      <c r="K29" s="316">
        <f t="shared" ca="1" si="4"/>
        <v>1517.0019625001185</v>
      </c>
      <c r="L29" s="316">
        <f t="shared" ca="1" si="4"/>
        <v>1519.522934437302</v>
      </c>
      <c r="M29" s="117"/>
      <c r="N29" s="117"/>
    </row>
    <row r="30" spans="1:14" ht="12.75" customHeight="1" x14ac:dyDescent="0.25">
      <c r="A30" s="117"/>
      <c r="B30" s="117"/>
      <c r="C30" s="117"/>
      <c r="D30" s="117"/>
      <c r="E30" s="117"/>
      <c r="F30" s="122"/>
      <c r="G30" s="122"/>
      <c r="H30" s="122"/>
      <c r="I30" s="122"/>
      <c r="J30" s="122"/>
      <c r="K30" s="122"/>
      <c r="L30" s="122"/>
      <c r="M30" s="117"/>
      <c r="N30" s="117"/>
    </row>
    <row r="31" spans="1:14" ht="12.75" customHeight="1" x14ac:dyDescent="0.25">
      <c r="A31" s="128" t="s">
        <v>45</v>
      </c>
      <c r="B31" s="117"/>
      <c r="C31" s="117"/>
      <c r="D31" s="137"/>
      <c r="E31" s="9">
        <f t="shared" ref="E31:L31" si="5">+E29-E17</f>
        <v>0</v>
      </c>
      <c r="F31" s="9">
        <f t="shared" si="5"/>
        <v>0</v>
      </c>
      <c r="G31" s="9">
        <f t="shared" si="5"/>
        <v>0</v>
      </c>
      <c r="H31" s="9">
        <f t="shared" ca="1" si="5"/>
        <v>0</v>
      </c>
      <c r="I31" s="9">
        <f t="shared" ca="1" si="5"/>
        <v>0</v>
      </c>
      <c r="J31" s="9">
        <f ca="1">+J29-J17</f>
        <v>0</v>
      </c>
      <c r="K31" s="9">
        <f t="shared" ca="1" si="5"/>
        <v>3.1832314562052488E-12</v>
      </c>
      <c r="L31" s="9">
        <f t="shared" ca="1" si="5"/>
        <v>-1.0572875908110291E-10</v>
      </c>
      <c r="M31" s="117"/>
      <c r="N31" s="117" t="s">
        <v>46</v>
      </c>
    </row>
    <row r="32" spans="1:14" ht="12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</row>
    <row r="33" spans="1:14" ht="12.75" customHeight="1" x14ac:dyDescent="0.25">
      <c r="A33" s="117" t="s">
        <v>23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</row>
    <row r="34" spans="1:14" ht="12.75" customHeight="1" x14ac:dyDescent="0.25">
      <c r="A34" s="126" t="s">
        <v>20</v>
      </c>
      <c r="B34" s="126"/>
      <c r="C34" s="126"/>
      <c r="D34" s="126"/>
      <c r="E34" s="12">
        <f>'Income Statement'!E25</f>
        <v>72.311184806562494</v>
      </c>
      <c r="F34" s="12">
        <f>+'Income Statement'!F25</f>
        <v>70.855361384251481</v>
      </c>
      <c r="G34" s="12">
        <f>+'Income Statement'!G25</f>
        <v>83.649576065191297</v>
      </c>
      <c r="H34" s="12">
        <f ca="1">+'Income Statement'!H25</f>
        <v>94.717135989674063</v>
      </c>
      <c r="I34" s="12">
        <f ca="1">+'Income Statement'!I25</f>
        <v>101.01777484281831</v>
      </c>
      <c r="J34" s="12">
        <f ca="1">+'Income Statement'!J25</f>
        <v>110.19090953957883</v>
      </c>
      <c r="K34" s="12">
        <f ca="1">+'Income Statement'!K25</f>
        <v>118.66869544961168</v>
      </c>
      <c r="L34" s="12">
        <f ca="1">+'Income Statement'!L25</f>
        <v>126.52081447246991</v>
      </c>
      <c r="M34" s="117"/>
      <c r="N34" s="117" t="s">
        <v>47</v>
      </c>
    </row>
    <row r="35" spans="1:14" s="15" customFormat="1" ht="12.75" customHeight="1" x14ac:dyDescent="0.25">
      <c r="A35" s="118" t="s">
        <v>48</v>
      </c>
      <c r="B35" s="118"/>
      <c r="C35" s="118"/>
      <c r="D35" s="118"/>
      <c r="E35" s="286">
        <f>E10/E22</f>
        <v>0.85949056549078395</v>
      </c>
      <c r="F35" s="286">
        <f>F10/F22</f>
        <v>0.9048665877250418</v>
      </c>
      <c r="G35" s="286">
        <f t="shared" ref="G35:L35" si="6">G10/G22</f>
        <v>0.48252192707033703</v>
      </c>
      <c r="H35" s="286">
        <f t="shared" ca="1" si="6"/>
        <v>0.43169062961721766</v>
      </c>
      <c r="I35" s="286">
        <f t="shared" ca="1" si="6"/>
        <v>0.19586434565632946</v>
      </c>
      <c r="J35" s="286">
        <f t="shared" ca="1" si="6"/>
        <v>6.1982994632054839E-2</v>
      </c>
      <c r="K35" s="286">
        <f t="shared" ca="1" si="6"/>
        <v>5.9886951335310801E-2</v>
      </c>
      <c r="L35" s="286">
        <f t="shared" ca="1" si="6"/>
        <v>5.8142671199566585E-2</v>
      </c>
      <c r="M35" s="118"/>
      <c r="N35" s="118" t="s">
        <v>348</v>
      </c>
    </row>
    <row r="36" spans="1:14" ht="12.75" customHeight="1" x14ac:dyDescent="0.25">
      <c r="A36" s="117" t="s">
        <v>49</v>
      </c>
      <c r="B36" s="117"/>
      <c r="C36" s="117"/>
      <c r="D36" s="117"/>
      <c r="E36" s="123">
        <f t="shared" ref="E36" si="7">+E34/E28</f>
        <v>0.24020147379185744</v>
      </c>
      <c r="F36" s="123">
        <f t="shared" ref="F36:L36" si="8">+F34/F28</f>
        <v>0.25306277374101743</v>
      </c>
      <c r="G36" s="123">
        <f t="shared" si="8"/>
        <v>0.30426323285807833</v>
      </c>
      <c r="H36" s="123">
        <f t="shared" ca="1" si="8"/>
        <v>0.32110917180391341</v>
      </c>
      <c r="I36" s="123">
        <f t="shared" ca="1" si="8"/>
        <v>0.31417740811833694</v>
      </c>
      <c r="J36" s="123">
        <f t="shared" ca="1" si="8"/>
        <v>0.30831344386444748</v>
      </c>
      <c r="K36" s="123">
        <f t="shared" ca="1" si="8"/>
        <v>0.29584935698205717</v>
      </c>
      <c r="L36" s="123">
        <f t="shared" ca="1" si="8"/>
        <v>0.27991410020448004</v>
      </c>
      <c r="M36" s="117"/>
      <c r="N36" s="117" t="s">
        <v>359</v>
      </c>
    </row>
    <row r="37" spans="1:14" ht="12.75" customHeight="1" x14ac:dyDescent="0.25">
      <c r="A37" s="117" t="s">
        <v>50</v>
      </c>
      <c r="B37" s="117"/>
      <c r="C37" s="117"/>
      <c r="D37" s="117"/>
      <c r="E37" s="16">
        <f>+E24-E10</f>
        <v>313.85811519343741</v>
      </c>
      <c r="F37" s="16">
        <f>+F24-F10</f>
        <v>417.76275380918594</v>
      </c>
      <c r="G37" s="16">
        <f t="shared" ref="G37:L37" si="9">+G24-G10</f>
        <v>602.0949777439946</v>
      </c>
      <c r="H37" s="16">
        <f t="shared" ca="1" si="9"/>
        <v>587.50304314724542</v>
      </c>
      <c r="I37" s="16">
        <f t="shared" ca="1" si="9"/>
        <v>648.70464128533331</v>
      </c>
      <c r="J37" s="16">
        <f t="shared" ca="1" si="9"/>
        <v>597.41375658943298</v>
      </c>
      <c r="K37" s="16">
        <f t="shared" ca="1" si="9"/>
        <v>551.29686128546939</v>
      </c>
      <c r="L37" s="16">
        <f t="shared" ca="1" si="9"/>
        <v>490.40741126937496</v>
      </c>
      <c r="M37" s="117"/>
      <c r="N37" s="117" t="s">
        <v>347</v>
      </c>
    </row>
    <row r="38" spans="1:14" ht="12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</row>
    <row r="39" spans="1:14" ht="12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</row>
    <row r="40" spans="1:14" ht="12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</row>
    <row r="41" spans="1:14" ht="12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</row>
    <row r="42" spans="1:14" ht="12.75" customHeight="1" x14ac:dyDescent="0.25">
      <c r="A42" s="285" t="s">
        <v>372</v>
      </c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</row>
    <row r="43" spans="1:14" ht="12.75" customHeight="1" x14ac:dyDescent="0.25">
      <c r="A43" s="285" t="s">
        <v>373</v>
      </c>
      <c r="B43" s="117"/>
      <c r="C43" s="117"/>
      <c r="D43" s="117"/>
      <c r="E43" s="117"/>
      <c r="F43" s="202"/>
      <c r="G43" s="202"/>
      <c r="H43" s="117"/>
      <c r="I43" s="117"/>
      <c r="J43" s="117"/>
      <c r="K43" s="117"/>
      <c r="L43" s="117"/>
      <c r="M43" s="117"/>
      <c r="N43" s="117"/>
    </row>
    <row r="44" spans="1:14" ht="12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</row>
    <row r="45" spans="1:14" ht="12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</row>
    <row r="46" spans="1:14" ht="12.75" customHeight="1" x14ac:dyDescent="0.25">
      <c r="A46" s="129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</row>
    <row r="47" spans="1:14" ht="12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</row>
    <row r="48" spans="1:14" ht="12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</row>
    <row r="49" spans="1:14" ht="12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</row>
    <row r="50" spans="1:14" ht="12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</row>
    <row r="51" spans="1:14" ht="12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</row>
    <row r="52" spans="1:14" ht="12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</row>
    <row r="53" spans="1:14" ht="12.75" customHeight="1" x14ac:dyDescent="0.25"/>
    <row r="54" spans="1:14" ht="12.75" customHeight="1" x14ac:dyDescent="0.25"/>
    <row r="55" spans="1:14" ht="12.75" customHeight="1" x14ac:dyDescent="0.25"/>
    <row r="56" spans="1:14" ht="12.75" customHeight="1" x14ac:dyDescent="0.25"/>
    <row r="57" spans="1:14" ht="12.75" customHeight="1" x14ac:dyDescent="0.25"/>
    <row r="58" spans="1:14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3"/>
  <sheetViews>
    <sheetView showGridLines="0" zoomScale="85" zoomScaleNormal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375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21" t="s">
        <v>2</v>
      </c>
      <c r="M1" s="117"/>
      <c r="N1" s="117"/>
    </row>
    <row r="2" spans="1:14" ht="15.95" customHeight="1" thickBot="1" x14ac:dyDescent="0.3">
      <c r="A2" s="4" t="s">
        <v>51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22" t="s">
        <v>215</v>
      </c>
      <c r="M2" s="117"/>
      <c r="N2" s="117"/>
    </row>
    <row r="3" spans="1:14" ht="12.7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1:14" ht="12.75" customHeight="1" x14ac:dyDescent="0.25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</row>
    <row r="5" spans="1:14" ht="12.75" customHeight="1" x14ac:dyDescent="0.25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</row>
    <row r="6" spans="1:14" ht="12.75" customHeight="1" x14ac:dyDescent="0.25">
      <c r="A6" s="117"/>
      <c r="B6" s="117"/>
      <c r="C6" s="117"/>
      <c r="D6" s="117"/>
      <c r="E6" s="172" t="s">
        <v>229</v>
      </c>
      <c r="F6" s="172"/>
      <c r="G6" s="172"/>
      <c r="H6" s="172"/>
      <c r="I6" s="173"/>
      <c r="J6" s="173"/>
      <c r="K6" s="173"/>
      <c r="L6" s="173"/>
      <c r="M6" s="26"/>
      <c r="N6" s="26"/>
    </row>
    <row r="7" spans="1:14" ht="12.75" customHeight="1" x14ac:dyDescent="0.25">
      <c r="A7" s="117"/>
      <c r="B7" s="117"/>
      <c r="C7" s="117"/>
      <c r="D7" s="117"/>
      <c r="E7" s="174" t="s">
        <v>332</v>
      </c>
      <c r="F7" s="174" t="s">
        <v>354</v>
      </c>
      <c r="G7" s="174" t="s">
        <v>397</v>
      </c>
      <c r="H7" s="174" t="s">
        <v>4</v>
      </c>
      <c r="I7" s="174" t="s">
        <v>5</v>
      </c>
      <c r="J7" s="174" t="s">
        <v>333</v>
      </c>
      <c r="K7" s="174" t="s">
        <v>355</v>
      </c>
      <c r="L7" s="174" t="s">
        <v>398</v>
      </c>
      <c r="M7" s="26"/>
      <c r="N7" s="27" t="s">
        <v>6</v>
      </c>
    </row>
    <row r="8" spans="1:14" ht="12.75" customHeight="1" x14ac:dyDescent="0.25">
      <c r="A8" s="7" t="s">
        <v>52</v>
      </c>
      <c r="B8" s="117"/>
      <c r="C8" s="117"/>
      <c r="D8" s="117"/>
      <c r="E8" s="121"/>
      <c r="F8" s="121"/>
      <c r="G8" s="121"/>
      <c r="H8" s="117"/>
      <c r="I8" s="117"/>
      <c r="J8" s="117"/>
      <c r="K8" s="117"/>
      <c r="L8" s="117"/>
      <c r="M8" s="26"/>
      <c r="N8" s="26"/>
    </row>
    <row r="9" spans="1:14" ht="3" customHeight="1" x14ac:dyDescent="0.25">
      <c r="A9" s="117"/>
      <c r="B9" s="117"/>
      <c r="C9" s="117"/>
      <c r="D9" s="117"/>
      <c r="E9" s="121"/>
      <c r="F9" s="121"/>
      <c r="G9" s="121"/>
      <c r="H9" s="117"/>
      <c r="I9" s="117"/>
      <c r="J9" s="117"/>
      <c r="K9" s="117"/>
      <c r="L9" s="117"/>
      <c r="M9" s="117"/>
      <c r="N9" s="117"/>
    </row>
    <row r="10" spans="1:14" ht="12.75" customHeight="1" x14ac:dyDescent="0.25">
      <c r="A10" s="117" t="s">
        <v>20</v>
      </c>
      <c r="B10" s="117"/>
      <c r="C10" s="117"/>
      <c r="D10" s="117"/>
      <c r="E10" s="117"/>
      <c r="F10" s="117"/>
      <c r="G10" s="117"/>
      <c r="H10" s="10">
        <f ca="1">+'Income Statement'!H25</f>
        <v>94.717135989674063</v>
      </c>
      <c r="I10" s="10">
        <f ca="1">+'Income Statement'!I25</f>
        <v>101.01777484281831</v>
      </c>
      <c r="J10" s="10">
        <f ca="1">+'Income Statement'!J25</f>
        <v>110.19090953957883</v>
      </c>
      <c r="K10" s="10">
        <f ca="1">+'Income Statement'!K25</f>
        <v>118.66869544961168</v>
      </c>
      <c r="L10" s="10">
        <f ca="1">+'Income Statement'!L25</f>
        <v>126.52081447246991</v>
      </c>
      <c r="M10" s="117"/>
      <c r="N10" s="117" t="s">
        <v>53</v>
      </c>
    </row>
    <row r="11" spans="1:14" ht="12.75" customHeight="1" x14ac:dyDescent="0.25">
      <c r="A11" s="117" t="s">
        <v>54</v>
      </c>
      <c r="B11" s="117"/>
      <c r="C11" s="117"/>
      <c r="D11" s="117"/>
      <c r="E11" s="117"/>
      <c r="F11" s="117"/>
      <c r="G11" s="117"/>
      <c r="H11" s="11">
        <f>-'PP&amp;E'!H12</f>
        <v>137.32549874999998</v>
      </c>
      <c r="I11" s="11">
        <f>-'PP&amp;E'!I12</f>
        <v>153.65197471249999</v>
      </c>
      <c r="J11" s="11">
        <f>-'PP&amp;E'!J12</f>
        <v>169.82586678749999</v>
      </c>
      <c r="K11" s="11">
        <f>-'PP&amp;E'!K12</f>
        <v>193.34674933756872</v>
      </c>
      <c r="L11" s="11">
        <f>-'PP&amp;E'!L12</f>
        <v>217.2514383465772</v>
      </c>
      <c r="M11" s="117"/>
      <c r="N11" s="117" t="s">
        <v>421</v>
      </c>
    </row>
    <row r="12" spans="1:14" ht="12.75" customHeight="1" x14ac:dyDescent="0.25">
      <c r="A12" s="117" t="s">
        <v>55</v>
      </c>
      <c r="B12" s="117"/>
      <c r="C12" s="117"/>
      <c r="D12" s="117"/>
      <c r="E12" s="117"/>
      <c r="F12" s="117"/>
      <c r="G12" s="117"/>
      <c r="H12" s="11">
        <f>-'Working Capital'!H20</f>
        <v>25.065093446061667</v>
      </c>
      <c r="I12" s="11">
        <f>-'Working Capital'!I20</f>
        <v>17.366345606763673</v>
      </c>
      <c r="J12" s="11">
        <f>-'Working Capital'!J20</f>
        <v>15.422902997938024</v>
      </c>
      <c r="K12" s="11">
        <f>-'Working Capital'!K20</f>
        <v>11.192468839894502</v>
      </c>
      <c r="L12" s="11">
        <f>-'Working Capital'!L20</f>
        <v>10.00262432671974</v>
      </c>
      <c r="M12" s="117"/>
      <c r="N12" s="117" t="s">
        <v>31</v>
      </c>
    </row>
    <row r="13" spans="1:14" ht="12.75" customHeight="1" x14ac:dyDescent="0.25">
      <c r="A13" s="125" t="s">
        <v>56</v>
      </c>
      <c r="B13" s="126"/>
      <c r="C13" s="126"/>
      <c r="D13" s="126"/>
      <c r="E13" s="126"/>
      <c r="F13" s="126"/>
      <c r="G13" s="126"/>
      <c r="H13" s="127">
        <f ca="1">SUM(H10:H12)</f>
        <v>257.10772818573571</v>
      </c>
      <c r="I13" s="127">
        <f ca="1">SUM(I10:I12)</f>
        <v>272.03609516208201</v>
      </c>
      <c r="J13" s="127">
        <f ca="1">SUM(J10:J12)</f>
        <v>295.43967932501681</v>
      </c>
      <c r="K13" s="127">
        <f ca="1">SUM(K10:K12)</f>
        <v>323.2079136270749</v>
      </c>
      <c r="L13" s="127">
        <f ca="1">SUM(L10:L12)</f>
        <v>353.77487714576688</v>
      </c>
      <c r="M13" s="117"/>
      <c r="N13" s="117"/>
    </row>
    <row r="14" spans="1:14" ht="12.75" customHeight="1" x14ac:dyDescent="0.25">
      <c r="A14" s="117"/>
      <c r="B14" s="117"/>
      <c r="C14" s="117"/>
      <c r="D14" s="117"/>
      <c r="E14" s="117"/>
      <c r="F14" s="117"/>
      <c r="G14" s="117"/>
      <c r="H14" s="122"/>
      <c r="I14" s="122"/>
      <c r="J14" s="122"/>
      <c r="K14" s="122"/>
      <c r="L14" s="122"/>
      <c r="M14" s="117"/>
      <c r="N14" s="117"/>
    </row>
    <row r="15" spans="1:14" ht="12.75" customHeight="1" x14ac:dyDescent="0.25">
      <c r="A15" s="117" t="s">
        <v>57</v>
      </c>
      <c r="B15" s="117"/>
      <c r="C15" s="117"/>
      <c r="D15" s="117"/>
      <c r="E15" s="117"/>
      <c r="F15" s="117"/>
      <c r="G15" s="117"/>
      <c r="H15" s="11">
        <f>-'PP&amp;E'!H11</f>
        <v>-167.84227625</v>
      </c>
      <c r="I15" s="11">
        <f>-'PP&amp;E'!I11</f>
        <v>-258.78227319999996</v>
      </c>
      <c r="J15" s="11">
        <f>-'PP&amp;E'!J11</f>
        <v>-169.82586678749999</v>
      </c>
      <c r="K15" s="11">
        <f>-'PP&amp;E'!K11</f>
        <v>-202.13523794382183</v>
      </c>
      <c r="L15" s="11">
        <f>-'PP&amp;E'!L11</f>
        <v>-217.2514383465772</v>
      </c>
      <c r="M15" s="117"/>
      <c r="N15" s="117" t="s">
        <v>421</v>
      </c>
    </row>
    <row r="16" spans="1:14" ht="12.75" customHeight="1" x14ac:dyDescent="0.25">
      <c r="A16" s="125" t="s">
        <v>58</v>
      </c>
      <c r="B16" s="126"/>
      <c r="C16" s="126"/>
      <c r="D16" s="126"/>
      <c r="E16" s="126"/>
      <c r="F16" s="126"/>
      <c r="G16" s="126"/>
      <c r="H16" s="127">
        <f>SUM(H15:H15)</f>
        <v>-167.84227625</v>
      </c>
      <c r="I16" s="127">
        <f>SUM(I15:I15)</f>
        <v>-258.78227319999996</v>
      </c>
      <c r="J16" s="127">
        <f>SUM(J15:J15)</f>
        <v>-169.82586678749999</v>
      </c>
      <c r="K16" s="127">
        <f>SUM(K15:K15)</f>
        <v>-202.13523794382183</v>
      </c>
      <c r="L16" s="127">
        <f>SUM(L15:L15)</f>
        <v>-217.2514383465772</v>
      </c>
      <c r="M16" s="117"/>
      <c r="N16" s="117"/>
    </row>
    <row r="17" spans="1:14" ht="12.75" customHeight="1" x14ac:dyDescent="0.25">
      <c r="A17" s="117"/>
      <c r="B17" s="117"/>
      <c r="C17" s="117"/>
      <c r="D17" s="117"/>
      <c r="E17" s="117"/>
      <c r="F17" s="117"/>
      <c r="G17" s="117"/>
      <c r="H17" s="122"/>
      <c r="I17" s="122"/>
      <c r="J17" s="122"/>
      <c r="K17" s="122"/>
      <c r="L17" s="122"/>
      <c r="M17" s="117"/>
      <c r="N17" s="117"/>
    </row>
    <row r="18" spans="1:14" ht="12.75" customHeight="1" x14ac:dyDescent="0.25">
      <c r="A18" s="117" t="s">
        <v>59</v>
      </c>
      <c r="B18" s="117"/>
      <c r="C18" s="117"/>
      <c r="D18" s="117"/>
      <c r="E18" s="117"/>
      <c r="F18" s="117"/>
      <c r="G18" s="117"/>
      <c r="H18" s="10">
        <f ca="1">+Equity!H12</f>
        <v>-44.673517338986493</v>
      </c>
      <c r="I18" s="10">
        <f ca="1">+Equity!I12</f>
        <v>-44.455420100169889</v>
      </c>
      <c r="J18" s="10">
        <f ca="1">+Equity!J12</f>
        <v>-44.322927841616497</v>
      </c>
      <c r="K18" s="10">
        <f ca="1">+Equity!K12</f>
        <v>-44.955780379285635</v>
      </c>
      <c r="L18" s="10">
        <f ca="1">+Equity!L12</f>
        <v>-45.633988783271235</v>
      </c>
      <c r="M18" s="117"/>
      <c r="N18" s="117" t="s">
        <v>43</v>
      </c>
    </row>
    <row r="19" spans="1:14" ht="12.75" customHeight="1" x14ac:dyDescent="0.25">
      <c r="A19" s="117" t="s">
        <v>60</v>
      </c>
      <c r="B19" s="117"/>
      <c r="C19" s="117"/>
      <c r="D19" s="117"/>
      <c r="E19" s="117"/>
      <c r="F19" s="117"/>
      <c r="G19" s="117"/>
      <c r="H19" s="11">
        <f>+Equity!H13</f>
        <v>-30</v>
      </c>
      <c r="I19" s="11">
        <f>+Equity!I13</f>
        <v>-30</v>
      </c>
      <c r="J19" s="11">
        <f>+Equity!J13</f>
        <v>-30</v>
      </c>
      <c r="K19" s="11">
        <f>+Equity!K13</f>
        <v>-30</v>
      </c>
      <c r="L19" s="11">
        <f>+Equity!L13</f>
        <v>-30</v>
      </c>
      <c r="M19" s="117"/>
      <c r="N19" s="117" t="s">
        <v>43</v>
      </c>
    </row>
    <row r="20" spans="1:14" ht="12.75" customHeight="1" x14ac:dyDescent="0.25">
      <c r="A20" s="117" t="s">
        <v>222</v>
      </c>
      <c r="B20" s="117"/>
      <c r="C20" s="117"/>
      <c r="D20" s="117"/>
      <c r="E20" s="117"/>
      <c r="F20" s="117"/>
      <c r="G20" s="117"/>
      <c r="H20" s="11">
        <f ca="1">Debt!H40</f>
        <v>0</v>
      </c>
      <c r="I20" s="11">
        <f ca="1">Debt!I40</f>
        <v>0</v>
      </c>
      <c r="J20" s="11">
        <f ca="1">Debt!J40</f>
        <v>98.471756589432914</v>
      </c>
      <c r="K20" s="11">
        <f ca="1">Debt!K40</f>
        <v>-26.1168953039668</v>
      </c>
      <c r="L20" s="11">
        <f ca="1">Debt!L40</f>
        <v>-40.889450015989894</v>
      </c>
      <c r="M20" s="117"/>
      <c r="N20" s="117" t="s">
        <v>39</v>
      </c>
    </row>
    <row r="21" spans="1:14" ht="12.75" customHeight="1" x14ac:dyDescent="0.25">
      <c r="A21" s="117" t="s">
        <v>346</v>
      </c>
      <c r="B21" s="117"/>
      <c r="C21" s="117"/>
      <c r="D21" s="117"/>
      <c r="E21" s="117"/>
      <c r="F21" s="117"/>
      <c r="G21" s="117"/>
      <c r="H21" s="11">
        <f>Debt!H41</f>
        <v>-20</v>
      </c>
      <c r="I21" s="11">
        <f>Debt!I41</f>
        <v>-20</v>
      </c>
      <c r="J21" s="11">
        <f>Debt!J41</f>
        <v>-200</v>
      </c>
      <c r="K21" s="11">
        <f>Debt!K41</f>
        <v>-20</v>
      </c>
      <c r="L21" s="11">
        <f>Debt!L41</f>
        <v>-20</v>
      </c>
      <c r="M21" s="117"/>
      <c r="N21" s="117" t="s">
        <v>39</v>
      </c>
    </row>
    <row r="22" spans="1:14" ht="12.75" customHeight="1" x14ac:dyDescent="0.25">
      <c r="A22" s="125" t="s">
        <v>61</v>
      </c>
      <c r="B22" s="126"/>
      <c r="C22" s="126"/>
      <c r="D22" s="126"/>
      <c r="E22" s="126"/>
      <c r="F22" s="126"/>
      <c r="G22" s="126"/>
      <c r="H22" s="127">
        <f ca="1">SUM(H18:H21)</f>
        <v>-94.6735173389865</v>
      </c>
      <c r="I22" s="127">
        <f ca="1">SUM(I18:I21)</f>
        <v>-94.455420100169889</v>
      </c>
      <c r="J22" s="127">
        <f ca="1">SUM(J18:J21)</f>
        <v>-175.85117125218358</v>
      </c>
      <c r="K22" s="127">
        <f ca="1">SUM(K18:K21)</f>
        <v>-121.07267568325244</v>
      </c>
      <c r="L22" s="127">
        <f ca="1">SUM(L18:L21)</f>
        <v>-136.52343879926113</v>
      </c>
      <c r="M22" s="117"/>
      <c r="N22" s="117"/>
    </row>
    <row r="23" spans="1:14" ht="12.75" customHeight="1" x14ac:dyDescent="0.25">
      <c r="A23" s="117"/>
      <c r="B23" s="117"/>
      <c r="C23" s="117"/>
      <c r="D23" s="117"/>
      <c r="E23" s="117"/>
      <c r="F23" s="117"/>
      <c r="G23" s="117"/>
      <c r="H23" s="122"/>
      <c r="I23" s="122"/>
      <c r="J23" s="122"/>
      <c r="K23" s="122"/>
      <c r="L23" s="122"/>
      <c r="M23" s="117"/>
      <c r="N23" s="117"/>
    </row>
    <row r="24" spans="1:14" ht="12.75" customHeight="1" x14ac:dyDescent="0.25">
      <c r="A24" s="128" t="s">
        <v>62</v>
      </c>
      <c r="B24" s="117"/>
      <c r="C24" s="117"/>
      <c r="D24" s="117"/>
      <c r="E24" s="117"/>
      <c r="F24" s="117"/>
      <c r="G24" s="117"/>
      <c r="H24" s="122">
        <f ca="1">SUM(H22,H16,H13)</f>
        <v>-5.4080654032508164</v>
      </c>
      <c r="I24" s="122">
        <f ca="1">SUM(I22,I16,I13)</f>
        <v>-81.201598138087832</v>
      </c>
      <c r="J24" s="122">
        <f ca="1">SUM(J22,J16,J13)</f>
        <v>-50.237358714666755</v>
      </c>
      <c r="K24" s="122">
        <f ca="1">SUM(K22,K16,K13)</f>
        <v>6.2527760746888816E-13</v>
      </c>
      <c r="L24" s="122">
        <f ca="1">SUM(L22,L16,L13)</f>
        <v>-7.1452177508035675E-11</v>
      </c>
      <c r="M24" s="117"/>
      <c r="N24" s="117"/>
    </row>
    <row r="25" spans="1:14" ht="12.75" customHeight="1" x14ac:dyDescent="0.25">
      <c r="A25" s="117"/>
      <c r="B25" s="117"/>
      <c r="C25" s="117"/>
      <c r="D25" s="117"/>
      <c r="E25" s="117"/>
      <c r="F25" s="117"/>
      <c r="G25" s="117"/>
      <c r="H25" s="122"/>
      <c r="I25" s="122"/>
      <c r="J25" s="122"/>
      <c r="K25" s="122"/>
      <c r="L25" s="122"/>
      <c r="M25" s="117"/>
      <c r="N25" s="117"/>
    </row>
    <row r="26" spans="1:14" ht="12.75" customHeight="1" x14ac:dyDescent="0.25">
      <c r="A26" s="128" t="s">
        <v>63</v>
      </c>
      <c r="B26" s="117"/>
      <c r="C26" s="117"/>
      <c r="D26" s="117"/>
      <c r="E26" s="117"/>
      <c r="F26" s="117"/>
      <c r="G26" s="117"/>
      <c r="H26" s="16">
        <f>+G27</f>
        <v>161.84702225600537</v>
      </c>
      <c r="I26" s="16">
        <f ca="1">+H27</f>
        <v>156.43895685275456</v>
      </c>
      <c r="J26" s="16">
        <f ca="1">+I27</f>
        <v>75.237358714666726</v>
      </c>
      <c r="K26" s="16">
        <f ca="1">+J27</f>
        <v>24.999999999999972</v>
      </c>
      <c r="L26" s="16">
        <f ca="1">+K27</f>
        <v>24.999999999996675</v>
      </c>
      <c r="M26" s="118"/>
      <c r="N26" s="117" t="s">
        <v>424</v>
      </c>
    </row>
    <row r="27" spans="1:14" ht="12.75" customHeight="1" x14ac:dyDescent="0.25">
      <c r="A27" s="128" t="s">
        <v>64</v>
      </c>
      <c r="B27" s="117"/>
      <c r="C27" s="117"/>
      <c r="D27" s="117"/>
      <c r="E27" s="117"/>
      <c r="F27" s="117"/>
      <c r="G27" s="11">
        <f>+'Balance Sheet'!G10</f>
        <v>161.84702225600537</v>
      </c>
      <c r="H27" s="124">
        <f ca="1">SUM(H26,H24)</f>
        <v>156.43895685275456</v>
      </c>
      <c r="I27" s="124">
        <f ca="1">SUM(I26,I24)</f>
        <v>75.237358714666726</v>
      </c>
      <c r="J27" s="124">
        <f ca="1">SUM(J26,J24)</f>
        <v>24.999999999999972</v>
      </c>
      <c r="K27" s="124">
        <f ca="1">SUM(K26,K24)</f>
        <v>25.000000000000597</v>
      </c>
      <c r="L27" s="124">
        <f ca="1">SUM(L26,L24)</f>
        <v>24.999999999925222</v>
      </c>
      <c r="M27" s="117"/>
      <c r="N27" s="117" t="s">
        <v>425</v>
      </c>
    </row>
    <row r="28" spans="1:14" ht="12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</row>
    <row r="29" spans="1:14" ht="12.75" customHeight="1" x14ac:dyDescent="0.25">
      <c r="A29" s="117" t="s">
        <v>23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</row>
    <row r="30" spans="1:14" ht="12.75" customHeight="1" x14ac:dyDescent="0.25">
      <c r="A30" s="126" t="s">
        <v>395</v>
      </c>
      <c r="B30" s="126"/>
      <c r="C30" s="126"/>
      <c r="D30" s="126"/>
      <c r="E30" s="126"/>
      <c r="F30" s="126"/>
      <c r="G30" s="126"/>
      <c r="H30" s="127">
        <f ca="1">SUM(H13,H16)</f>
        <v>89.265451935735712</v>
      </c>
      <c r="I30" s="127">
        <f ca="1">SUM(I13,I16)</f>
        <v>13.253821962082043</v>
      </c>
      <c r="J30" s="127">
        <f ca="1">SUM(J13,J16)</f>
        <v>125.61381253751682</v>
      </c>
      <c r="K30" s="127">
        <f ca="1">SUM(K13,K16)</f>
        <v>121.07267568325307</v>
      </c>
      <c r="L30" s="127">
        <f ca="1">SUM(L13,L16)</f>
        <v>136.52343879918968</v>
      </c>
      <c r="M30" s="117"/>
      <c r="N30" s="117" t="s">
        <v>65</v>
      </c>
    </row>
    <row r="31" spans="1:14" ht="12.75" customHeight="1" x14ac:dyDescent="0.25">
      <c r="A31" s="117" t="s">
        <v>130</v>
      </c>
      <c r="B31" s="117"/>
      <c r="C31" s="117"/>
      <c r="D31" s="117"/>
      <c r="E31" s="117"/>
      <c r="F31" s="117"/>
      <c r="G31" s="117"/>
      <c r="H31" s="11">
        <f>+'Income Statement'!H14</f>
        <v>146.48053199999998</v>
      </c>
      <c r="I31" s="11">
        <f>+'Income Statement'!I14</f>
        <v>153.65197471249999</v>
      </c>
      <c r="J31" s="11">
        <f>+'Income Statement'!J14</f>
        <v>164.731090783875</v>
      </c>
      <c r="K31" s="11">
        <f>+'Income Statement'!K14</f>
        <v>172.25437668256123</v>
      </c>
      <c r="L31" s="11">
        <f>+'Income Statement'!L14</f>
        <v>179.23243663592621</v>
      </c>
      <c r="M31" s="117"/>
      <c r="N31" s="117" t="s">
        <v>47</v>
      </c>
    </row>
    <row r="32" spans="1:14" ht="12.75" customHeight="1" x14ac:dyDescent="0.25">
      <c r="A32" s="117" t="s">
        <v>66</v>
      </c>
      <c r="B32" s="117"/>
      <c r="C32" s="117"/>
      <c r="D32" s="117"/>
      <c r="E32" s="117"/>
      <c r="F32" s="117"/>
      <c r="G32" s="117"/>
      <c r="H32" s="124">
        <f>+H31+H11</f>
        <v>283.80603074999999</v>
      </c>
      <c r="I32" s="124">
        <f>+I31+I11</f>
        <v>307.30394942499998</v>
      </c>
      <c r="J32" s="124">
        <f>+J31+J11</f>
        <v>334.55695757137499</v>
      </c>
      <c r="K32" s="124">
        <f>+K31+K11</f>
        <v>365.60112602012998</v>
      </c>
      <c r="L32" s="124">
        <f>+L31+L11</f>
        <v>396.48387498250338</v>
      </c>
      <c r="M32" s="117"/>
      <c r="N32" s="117" t="s">
        <v>367</v>
      </c>
    </row>
    <row r="33" spans="1:14" ht="12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</row>
    <row r="34" spans="1:14" ht="12.75" customHeight="1" x14ac:dyDescent="0.25">
      <c r="A34" s="117"/>
    </row>
    <row r="35" spans="1:14" ht="12.75" customHeight="1" x14ac:dyDescent="0.25">
      <c r="A35" s="117"/>
    </row>
    <row r="36" spans="1:14" ht="12.75" customHeight="1" x14ac:dyDescent="0.25">
      <c r="A36" s="117"/>
    </row>
    <row r="37" spans="1:14" ht="12.75" customHeight="1" x14ac:dyDescent="0.25">
      <c r="A37" s="117"/>
    </row>
    <row r="38" spans="1:14" ht="12.75" customHeight="1" x14ac:dyDescent="0.25">
      <c r="A38" s="117"/>
    </row>
    <row r="39" spans="1:14" ht="12.75" customHeight="1" x14ac:dyDescent="0.25">
      <c r="A39" s="117"/>
    </row>
    <row r="40" spans="1:14" ht="12.75" customHeight="1" x14ac:dyDescent="0.25">
      <c r="A40" s="117"/>
    </row>
    <row r="41" spans="1:14" ht="12.75" customHeight="1" x14ac:dyDescent="0.25">
      <c r="A41" s="117"/>
    </row>
    <row r="42" spans="1:14" ht="12.75" customHeight="1" x14ac:dyDescent="0.25">
      <c r="A42" s="117"/>
    </row>
    <row r="43" spans="1:14" ht="12.75" customHeight="1" x14ac:dyDescent="0.25">
      <c r="A43" s="129"/>
    </row>
    <row r="44" spans="1:14" ht="12.75" customHeight="1" x14ac:dyDescent="0.25">
      <c r="A44" s="117"/>
    </row>
    <row r="45" spans="1:14" ht="12.75" customHeight="1" x14ac:dyDescent="0.25">
      <c r="A45" s="117"/>
    </row>
    <row r="46" spans="1:14" ht="12.75" customHeight="1" x14ac:dyDescent="0.25">
      <c r="A46" s="117"/>
    </row>
    <row r="47" spans="1:14" ht="12.75" customHeight="1" x14ac:dyDescent="0.25">
      <c r="A47" s="117"/>
    </row>
    <row r="48" spans="1:14" ht="12.75" customHeight="1" x14ac:dyDescent="0.25">
      <c r="A48" s="117"/>
    </row>
    <row r="49" spans="1:1" ht="12.75" customHeight="1" x14ac:dyDescent="0.25">
      <c r="A49" s="117"/>
    </row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3"/>
  <sheetViews>
    <sheetView showGridLines="0" zoomScale="85" zoomScaleNormal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375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21" t="s">
        <v>2</v>
      </c>
      <c r="M1" s="117"/>
      <c r="N1" s="117"/>
    </row>
    <row r="2" spans="1:14" ht="15.95" customHeight="1" thickBot="1" x14ac:dyDescent="0.3">
      <c r="A2" s="4" t="s">
        <v>378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22" t="s">
        <v>215</v>
      </c>
      <c r="M2" s="117"/>
      <c r="N2" s="117"/>
    </row>
    <row r="3" spans="1:14" ht="12.7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1:14" ht="12.75" customHeight="1" x14ac:dyDescent="0.25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</row>
    <row r="5" spans="1:14" ht="12.75" customHeight="1" x14ac:dyDescent="0.25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</row>
    <row r="6" spans="1:14" ht="12.75" customHeight="1" x14ac:dyDescent="0.25">
      <c r="A6" s="117"/>
      <c r="B6" s="117"/>
      <c r="C6" s="117"/>
      <c r="D6" s="117"/>
      <c r="E6" s="172" t="s">
        <v>229</v>
      </c>
      <c r="F6" s="172"/>
      <c r="G6" s="172"/>
      <c r="H6" s="172"/>
      <c r="I6" s="173"/>
      <c r="J6" s="173"/>
      <c r="K6" s="173"/>
      <c r="L6" s="173"/>
      <c r="M6" s="26"/>
      <c r="N6" s="26"/>
    </row>
    <row r="7" spans="1:14" ht="12.75" customHeight="1" x14ac:dyDescent="0.25">
      <c r="A7" s="117"/>
      <c r="B7" s="117"/>
      <c r="C7" s="117"/>
      <c r="D7" s="117"/>
      <c r="E7" s="361" t="s">
        <v>332</v>
      </c>
      <c r="F7" s="361" t="s">
        <v>354</v>
      </c>
      <c r="G7" s="361" t="s">
        <v>397</v>
      </c>
      <c r="H7" s="361" t="s">
        <v>4</v>
      </c>
      <c r="I7" s="361" t="s">
        <v>5</v>
      </c>
      <c r="J7" s="361" t="s">
        <v>333</v>
      </c>
      <c r="K7" s="361" t="s">
        <v>355</v>
      </c>
      <c r="L7" s="361" t="s">
        <v>398</v>
      </c>
      <c r="M7" s="26"/>
      <c r="N7" s="27" t="s">
        <v>6</v>
      </c>
    </row>
    <row r="8" spans="1:14" ht="12.75" customHeight="1" x14ac:dyDescent="0.25">
      <c r="A8" s="7" t="s">
        <v>376</v>
      </c>
      <c r="B8" s="117"/>
      <c r="C8" s="117"/>
      <c r="D8" s="117"/>
      <c r="E8" s="121"/>
      <c r="F8" s="121"/>
      <c r="G8" s="121"/>
      <c r="H8" s="117"/>
      <c r="I8" s="117"/>
      <c r="J8" s="117"/>
      <c r="K8" s="117"/>
      <c r="L8" s="117"/>
      <c r="M8" s="26"/>
      <c r="N8" s="26"/>
    </row>
    <row r="9" spans="1:14" ht="3" customHeight="1" x14ac:dyDescent="0.25">
      <c r="A9" s="117"/>
      <c r="B9" s="117"/>
      <c r="C9" s="117"/>
      <c r="D9" s="117"/>
      <c r="E9" s="121"/>
      <c r="F9" s="121"/>
      <c r="G9" s="121"/>
      <c r="H9" s="117"/>
      <c r="I9" s="117"/>
      <c r="J9" s="117"/>
      <c r="K9" s="117"/>
      <c r="L9" s="117"/>
      <c r="M9" s="117"/>
      <c r="N9" s="117"/>
    </row>
    <row r="10" spans="1:14" ht="12.75" customHeight="1" x14ac:dyDescent="0.25">
      <c r="A10" s="117" t="s">
        <v>377</v>
      </c>
      <c r="B10" s="117"/>
      <c r="C10" s="117"/>
      <c r="D10" s="117"/>
      <c r="E10" s="117"/>
      <c r="F10" s="117"/>
      <c r="G10" s="117"/>
      <c r="H10" s="16">
        <f>+G13</f>
        <v>1214.018</v>
      </c>
      <c r="I10" s="16">
        <f>+H13</f>
        <v>1244.5347775</v>
      </c>
      <c r="J10" s="16">
        <f>+I13</f>
        <v>1349.6650759874999</v>
      </c>
      <c r="K10" s="16">
        <f>+J13</f>
        <v>1349.6650759874999</v>
      </c>
      <c r="L10" s="16">
        <f>+K13</f>
        <v>1358.4535645937531</v>
      </c>
      <c r="M10" s="117"/>
      <c r="N10" s="117" t="s">
        <v>315</v>
      </c>
    </row>
    <row r="11" spans="1:14" ht="12.75" customHeight="1" x14ac:dyDescent="0.25">
      <c r="A11" s="117" t="s">
        <v>69</v>
      </c>
      <c r="B11" s="117"/>
      <c r="C11" s="117"/>
      <c r="D11" s="117"/>
      <c r="E11" s="14">
        <v>252.68600000000001</v>
      </c>
      <c r="F11" s="14">
        <v>199.74299999999999</v>
      </c>
      <c r="G11" s="14">
        <v>388.43900000000002</v>
      </c>
      <c r="H11" s="310">
        <f>+H16*H17</f>
        <v>167.84227625</v>
      </c>
      <c r="I11" s="310">
        <f>+I16*I17</f>
        <v>258.78227319999996</v>
      </c>
      <c r="J11" s="310">
        <f>+J16*J17</f>
        <v>169.82586678749999</v>
      </c>
      <c r="K11" s="310">
        <f>+K16*K17</f>
        <v>202.13523794382183</v>
      </c>
      <c r="L11" s="310">
        <f>+L16*L17</f>
        <v>217.2514383465772</v>
      </c>
      <c r="M11" s="117"/>
      <c r="N11" s="117" t="s">
        <v>70</v>
      </c>
    </row>
    <row r="12" spans="1:14" ht="12.75" customHeight="1" x14ac:dyDescent="0.25">
      <c r="A12" s="117" t="s">
        <v>71</v>
      </c>
      <c r="B12" s="117"/>
      <c r="C12" s="117"/>
      <c r="D12" s="117"/>
      <c r="E12" s="14">
        <v>-98.096999999999994</v>
      </c>
      <c r="F12" s="14">
        <v>-110.21599999999999</v>
      </c>
      <c r="G12" s="14">
        <v>-121.71299999999999</v>
      </c>
      <c r="H12" s="310">
        <f>-H16*H18</f>
        <v>-137.32549874999998</v>
      </c>
      <c r="I12" s="310">
        <f>-I16*I18</f>
        <v>-153.65197471249999</v>
      </c>
      <c r="J12" s="310">
        <f>-J16*J18</f>
        <v>-169.82586678749999</v>
      </c>
      <c r="K12" s="310">
        <f>-K16*K18</f>
        <v>-193.34674933756872</v>
      </c>
      <c r="L12" s="310">
        <f>-L16*L18</f>
        <v>-217.2514383465772</v>
      </c>
      <c r="M12" s="117"/>
      <c r="N12" s="117" t="s">
        <v>72</v>
      </c>
    </row>
    <row r="13" spans="1:14" ht="12.75" customHeight="1" x14ac:dyDescent="0.25">
      <c r="A13" s="125" t="s">
        <v>379</v>
      </c>
      <c r="B13" s="126"/>
      <c r="C13" s="126"/>
      <c r="D13" s="126"/>
      <c r="E13" s="126"/>
      <c r="F13" s="126"/>
      <c r="G13" s="12">
        <f>+'Balance Sheet'!G15</f>
        <v>1214.018</v>
      </c>
      <c r="H13" s="127">
        <f>SUM(H10:H12)</f>
        <v>1244.5347775</v>
      </c>
      <c r="I13" s="127">
        <f>SUM(I10:I12)</f>
        <v>1349.6650759874999</v>
      </c>
      <c r="J13" s="127">
        <f>SUM(J10:J12)</f>
        <v>1349.6650759874999</v>
      </c>
      <c r="K13" s="127">
        <f>SUM(K10:K12)</f>
        <v>1358.4535645937531</v>
      </c>
      <c r="L13" s="127">
        <f>SUM(L10:L12)</f>
        <v>1358.4535645937531</v>
      </c>
      <c r="M13" s="117"/>
      <c r="N13" s="117" t="s">
        <v>399</v>
      </c>
    </row>
    <row r="14" spans="1:14" ht="12.75" customHeight="1" x14ac:dyDescent="0.25">
      <c r="A14" s="117"/>
      <c r="B14" s="117"/>
      <c r="C14" s="117"/>
      <c r="D14" s="117"/>
      <c r="E14" s="117"/>
      <c r="F14" s="117"/>
      <c r="G14" s="117"/>
      <c r="H14" s="279"/>
      <c r="I14" s="279"/>
      <c r="J14" s="279"/>
      <c r="K14" s="279"/>
      <c r="L14" s="279"/>
      <c r="M14" s="117"/>
      <c r="N14" s="117"/>
    </row>
    <row r="15" spans="1:14" ht="12.75" customHeight="1" x14ac:dyDescent="0.25">
      <c r="A15" s="117" t="s">
        <v>23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</row>
    <row r="16" spans="1:14" ht="12.75" customHeight="1" x14ac:dyDescent="0.25">
      <c r="A16" s="126" t="s">
        <v>8</v>
      </c>
      <c r="B16" s="126"/>
      <c r="C16" s="126"/>
      <c r="D16" s="126"/>
      <c r="E16" s="12">
        <f>+'Income Statement'!E10</f>
        <v>1253.0039999999999</v>
      </c>
      <c r="F16" s="12">
        <f>+'Income Statement'!F10</f>
        <v>1341.587</v>
      </c>
      <c r="G16" s="12">
        <f>+'Income Statement'!G10</f>
        <v>1419.385</v>
      </c>
      <c r="H16" s="12">
        <f>+'Income Statement'!H10</f>
        <v>1525.8388749999999</v>
      </c>
      <c r="I16" s="12">
        <f>+'Income Statement'!I10</f>
        <v>1617.3892074999999</v>
      </c>
      <c r="J16" s="12">
        <f>+'Income Statement'!J10</f>
        <v>1698.2586678749999</v>
      </c>
      <c r="K16" s="12">
        <f>+'Income Statement'!K10</f>
        <v>1757.6977212506247</v>
      </c>
      <c r="L16" s="12">
        <f>+'Income Statement'!L10</f>
        <v>1810.4286528881435</v>
      </c>
      <c r="M16" s="117"/>
      <c r="N16" s="117" t="s">
        <v>73</v>
      </c>
    </row>
    <row r="17" spans="1:14" ht="12.75" customHeight="1" x14ac:dyDescent="0.25">
      <c r="A17" s="117" t="s">
        <v>74</v>
      </c>
      <c r="B17" s="117"/>
      <c r="C17" s="117"/>
      <c r="D17" s="117"/>
      <c r="E17" s="311">
        <f>+E11/E16</f>
        <v>0.20166416068903215</v>
      </c>
      <c r="F17" s="311">
        <f>+F11/F16</f>
        <v>0.14888561084745155</v>
      </c>
      <c r="G17" s="311">
        <f>+G11/G16</f>
        <v>0.27366711639195851</v>
      </c>
      <c r="H17" s="312">
        <v>0.11</v>
      </c>
      <c r="I17" s="312">
        <v>0.16</v>
      </c>
      <c r="J17" s="312">
        <v>0.1</v>
      </c>
      <c r="K17" s="312">
        <v>0.115</v>
      </c>
      <c r="L17" s="312">
        <v>0.12</v>
      </c>
      <c r="M17" s="117"/>
      <c r="N17" s="117" t="s">
        <v>75</v>
      </c>
    </row>
    <row r="18" spans="1:14" ht="12.75" customHeight="1" x14ac:dyDescent="0.25">
      <c r="A18" s="117" t="s">
        <v>76</v>
      </c>
      <c r="B18" s="117"/>
      <c r="C18" s="117"/>
      <c r="D18" s="117"/>
      <c r="E18" s="311">
        <f>-E12/E16</f>
        <v>7.8289454782267259E-2</v>
      </c>
      <c r="F18" s="311">
        <f>-F12/F16</f>
        <v>8.2153449608560608E-2</v>
      </c>
      <c r="G18" s="311">
        <f>-G12/G16</f>
        <v>8.575051871056831E-2</v>
      </c>
      <c r="H18" s="312">
        <v>0.09</v>
      </c>
      <c r="I18" s="312">
        <v>9.5000000000000001E-2</v>
      </c>
      <c r="J18" s="312">
        <v>0.1</v>
      </c>
      <c r="K18" s="312">
        <v>0.11</v>
      </c>
      <c r="L18" s="312">
        <v>0.12</v>
      </c>
      <c r="M18" s="117"/>
      <c r="N18" s="117" t="s">
        <v>77</v>
      </c>
    </row>
    <row r="19" spans="1:14" ht="12.75" customHeight="1" x14ac:dyDescent="0.25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</row>
    <row r="20" spans="1:14" ht="12.75" customHeight="1" x14ac:dyDescent="0.25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</row>
    <row r="21" spans="1:14" ht="12.75" customHeight="1" x14ac:dyDescent="0.25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</row>
    <row r="22" spans="1:14" ht="12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</row>
    <row r="23" spans="1:14" ht="12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</row>
    <row r="24" spans="1:14" ht="12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</row>
    <row r="25" spans="1:14" ht="12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8"/>
      <c r="N25" s="118"/>
    </row>
    <row r="26" spans="1:14" ht="12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</row>
    <row r="27" spans="1:14" ht="12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</row>
    <row r="28" spans="1:14" ht="12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</row>
    <row r="29" spans="1:14" ht="12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</row>
    <row r="30" spans="1:14" ht="12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</row>
    <row r="31" spans="1:14" ht="12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</row>
    <row r="32" spans="1:14" ht="12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</row>
    <row r="33" spans="1:1" ht="12.75" customHeight="1" x14ac:dyDescent="0.25">
      <c r="A33" s="117"/>
    </row>
    <row r="34" spans="1:1" ht="12.75" customHeight="1" x14ac:dyDescent="0.25">
      <c r="A34" s="117"/>
    </row>
    <row r="35" spans="1:1" ht="12.75" customHeight="1" x14ac:dyDescent="0.25">
      <c r="A35" s="117"/>
    </row>
    <row r="36" spans="1:1" ht="12.75" customHeight="1" x14ac:dyDescent="0.25">
      <c r="A36" s="117"/>
    </row>
    <row r="43" spans="1:1" x14ac:dyDescent="0.25">
      <c r="A43" s="12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5"/>
  <sheetViews>
    <sheetView showGridLines="0" zoomScale="85" zoomScaleNormal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48" t="s">
        <v>375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21" t="s">
        <v>2</v>
      </c>
      <c r="M1" s="117"/>
      <c r="N1" s="117"/>
    </row>
    <row r="2" spans="1:14" ht="15.95" customHeight="1" thickBot="1" x14ac:dyDescent="0.3">
      <c r="A2" s="4" t="s">
        <v>78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22" t="s">
        <v>215</v>
      </c>
      <c r="M2" s="117"/>
      <c r="N2" s="117"/>
    </row>
    <row r="3" spans="1:14" ht="12.7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1:14" ht="12.75" customHeight="1" x14ac:dyDescent="0.25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</row>
    <row r="5" spans="1:14" ht="12.75" customHeight="1" x14ac:dyDescent="0.25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</row>
    <row r="6" spans="1:14" ht="12.75" customHeight="1" x14ac:dyDescent="0.25">
      <c r="A6" s="117"/>
      <c r="B6" s="117"/>
      <c r="C6" s="117"/>
      <c r="D6" s="117"/>
      <c r="E6" s="172" t="s">
        <v>229</v>
      </c>
      <c r="F6" s="172"/>
      <c r="G6" s="172"/>
      <c r="H6" s="172"/>
      <c r="I6" s="173"/>
      <c r="J6" s="173"/>
      <c r="K6" s="173"/>
      <c r="L6" s="173"/>
      <c r="M6" s="26"/>
      <c r="N6" s="26"/>
    </row>
    <row r="7" spans="1:14" ht="12.75" customHeight="1" x14ac:dyDescent="0.25">
      <c r="A7" s="117"/>
      <c r="B7" s="117"/>
      <c r="C7" s="117"/>
      <c r="D7" s="117"/>
      <c r="E7" s="361" t="s">
        <v>332</v>
      </c>
      <c r="F7" s="361" t="s">
        <v>354</v>
      </c>
      <c r="G7" s="361" t="s">
        <v>397</v>
      </c>
      <c r="H7" s="361" t="s">
        <v>4</v>
      </c>
      <c r="I7" s="361" t="s">
        <v>5</v>
      </c>
      <c r="J7" s="361" t="s">
        <v>333</v>
      </c>
      <c r="K7" s="361" t="s">
        <v>355</v>
      </c>
      <c r="L7" s="361" t="s">
        <v>398</v>
      </c>
      <c r="M7" s="26"/>
      <c r="N7" s="27" t="s">
        <v>6</v>
      </c>
    </row>
    <row r="8" spans="1:14" ht="12.75" customHeight="1" x14ac:dyDescent="0.25">
      <c r="A8" s="7" t="s">
        <v>79</v>
      </c>
      <c r="B8" s="117"/>
      <c r="C8" s="117"/>
      <c r="D8" s="117"/>
      <c r="E8" s="121"/>
      <c r="F8" s="121"/>
      <c r="G8" s="121"/>
      <c r="H8" s="117"/>
      <c r="I8" s="117"/>
      <c r="J8" s="117"/>
      <c r="K8" s="117"/>
      <c r="L8" s="117"/>
      <c r="M8" s="26"/>
      <c r="N8" s="26"/>
    </row>
    <row r="9" spans="1:14" ht="3" customHeight="1" x14ac:dyDescent="0.25">
      <c r="A9" s="117"/>
      <c r="B9" s="117"/>
      <c r="C9" s="117"/>
      <c r="D9" s="117"/>
      <c r="E9" s="121"/>
      <c r="F9" s="121"/>
      <c r="G9" s="121"/>
      <c r="H9" s="117"/>
      <c r="I9" s="117"/>
      <c r="J9" s="117"/>
      <c r="K9" s="117"/>
      <c r="L9" s="117"/>
      <c r="M9" s="117"/>
      <c r="N9" s="117"/>
    </row>
    <row r="10" spans="1:14" ht="12.75" customHeight="1" x14ac:dyDescent="0.25">
      <c r="A10" s="117" t="s">
        <v>30</v>
      </c>
      <c r="B10" s="117"/>
      <c r="C10" s="117"/>
      <c r="D10" s="117"/>
      <c r="E10" s="10">
        <f>+'Balance Sheet'!E11</f>
        <v>21.815000000000001</v>
      </c>
      <c r="F10" s="10">
        <f>+'Balance Sheet'!F11</f>
        <v>23.667000000000002</v>
      </c>
      <c r="G10" s="10">
        <f>+'Balance Sheet'!G11</f>
        <v>24.562999999999999</v>
      </c>
      <c r="H10" s="122">
        <f>H24/H29*H23</f>
        <v>27.172473116438354</v>
      </c>
      <c r="I10" s="122">
        <f>I24/I29*I23</f>
        <v>28.802821503424656</v>
      </c>
      <c r="J10" s="122">
        <f>J24/J29*J23</f>
        <v>30.160331533299178</v>
      </c>
      <c r="K10" s="122">
        <f>K24/K29*K23</f>
        <v>31.301466268846742</v>
      </c>
      <c r="L10" s="122">
        <f>L24/L29*L23</f>
        <v>32.240510256912145</v>
      </c>
      <c r="M10" s="117"/>
      <c r="N10" s="117" t="s">
        <v>80</v>
      </c>
    </row>
    <row r="11" spans="1:14" ht="12.75" customHeight="1" x14ac:dyDescent="0.25">
      <c r="A11" s="117" t="s">
        <v>32</v>
      </c>
      <c r="B11" s="117"/>
      <c r="C11" s="117"/>
      <c r="D11" s="117"/>
      <c r="E11" s="11">
        <f>+'Balance Sheet'!E12</f>
        <v>37.122999999999998</v>
      </c>
      <c r="F11" s="11">
        <f>+'Balance Sheet'!F12</f>
        <v>38.615000000000002</v>
      </c>
      <c r="G11" s="11">
        <f>+'Balance Sheet'!G12</f>
        <v>46.481999999999999</v>
      </c>
      <c r="H11" s="124">
        <f>+H25*H$23</f>
        <v>45.775166249999998</v>
      </c>
      <c r="I11" s="124">
        <f>+I25*I$23</f>
        <v>48.521676224999993</v>
      </c>
      <c r="J11" s="124">
        <f>+J25*J$23</f>
        <v>50.947760036249996</v>
      </c>
      <c r="K11" s="124">
        <f>+K25*K$23</f>
        <v>52.730931637518736</v>
      </c>
      <c r="L11" s="124">
        <f>+L25*L$23</f>
        <v>54.312859586644301</v>
      </c>
      <c r="M11" s="117"/>
      <c r="N11" s="117" t="s">
        <v>81</v>
      </c>
    </row>
    <row r="12" spans="1:14" ht="12.75" customHeight="1" x14ac:dyDescent="0.25">
      <c r="A12" s="125" t="s">
        <v>82</v>
      </c>
      <c r="B12" s="126"/>
      <c r="C12" s="126"/>
      <c r="D12" s="126"/>
      <c r="E12" s="127">
        <f t="shared" ref="E12" si="0">SUM(E10:E11)</f>
        <v>58.938000000000002</v>
      </c>
      <c r="F12" s="127">
        <f t="shared" ref="F12:L12" si="1">SUM(F10:F11)</f>
        <v>62.282000000000004</v>
      </c>
      <c r="G12" s="127">
        <f t="shared" si="1"/>
        <v>71.045000000000002</v>
      </c>
      <c r="H12" s="127">
        <f t="shared" si="1"/>
        <v>72.947639366438352</v>
      </c>
      <c r="I12" s="127">
        <f t="shared" si="1"/>
        <v>77.324497728424646</v>
      </c>
      <c r="J12" s="127">
        <f t="shared" si="1"/>
        <v>81.108091569549174</v>
      </c>
      <c r="K12" s="127">
        <f t="shared" si="1"/>
        <v>84.032397906365475</v>
      </c>
      <c r="L12" s="127">
        <f t="shared" si="1"/>
        <v>86.553369843556453</v>
      </c>
      <c r="M12" s="117"/>
      <c r="N12" s="117"/>
    </row>
    <row r="13" spans="1:14" ht="12.75" customHeight="1" x14ac:dyDescent="0.25">
      <c r="A13" s="117"/>
      <c r="B13" s="117"/>
      <c r="C13" s="117"/>
      <c r="D13" s="117"/>
      <c r="E13" s="117"/>
      <c r="F13" s="117"/>
      <c r="G13" s="117"/>
      <c r="H13" s="122"/>
      <c r="I13" s="122"/>
      <c r="J13" s="122"/>
      <c r="K13" s="122"/>
      <c r="L13" s="122"/>
      <c r="M13" s="117"/>
      <c r="N13" s="117"/>
    </row>
    <row r="14" spans="1:14" ht="12.75" customHeight="1" x14ac:dyDescent="0.25">
      <c r="A14" s="117" t="s">
        <v>227</v>
      </c>
      <c r="B14" s="117"/>
      <c r="C14" s="117"/>
      <c r="D14" s="117"/>
      <c r="E14" s="10">
        <f>+'Balance Sheet'!E19</f>
        <v>6.9009999999999998</v>
      </c>
      <c r="F14" s="10">
        <f>+'Balance Sheet'!F19</f>
        <v>16.010000000000002</v>
      </c>
      <c r="G14" s="10">
        <f>+'Balance Sheet'!G19</f>
        <v>20.108000000000001</v>
      </c>
      <c r="H14" s="122">
        <f>+H23*H26</f>
        <v>19.0729859375</v>
      </c>
      <c r="I14" s="122">
        <f>+I23*I26</f>
        <v>20.217365093750001</v>
      </c>
      <c r="J14" s="122">
        <f>+J23*J26</f>
        <v>21.228233348437499</v>
      </c>
      <c r="K14" s="122">
        <f>+K23*K26</f>
        <v>21.971221515632809</v>
      </c>
      <c r="L14" s="122">
        <f>+L23*L26</f>
        <v>22.630358161101796</v>
      </c>
      <c r="M14" s="117"/>
      <c r="N14" s="117" t="s">
        <v>314</v>
      </c>
    </row>
    <row r="15" spans="1:14" ht="12.75" customHeight="1" x14ac:dyDescent="0.25">
      <c r="A15" s="117" t="s">
        <v>334</v>
      </c>
      <c r="B15" s="117"/>
      <c r="C15" s="117"/>
      <c r="D15" s="117"/>
      <c r="E15" s="11">
        <f>+'Balance Sheet'!E20</f>
        <v>115.131</v>
      </c>
      <c r="F15" s="11">
        <f>+'Balance Sheet'!F20</f>
        <v>96.661000000000001</v>
      </c>
      <c r="G15" s="11">
        <f>+'Balance Sheet'!G20</f>
        <v>105.127</v>
      </c>
      <c r="H15" s="124">
        <f>H23*H27</f>
        <v>114.43791562499999</v>
      </c>
      <c r="I15" s="124">
        <f>I23*I27</f>
        <v>121.30419056249998</v>
      </c>
      <c r="J15" s="124">
        <f>J23*J27</f>
        <v>127.36940009062499</v>
      </c>
      <c r="K15" s="124">
        <f>K23*K27</f>
        <v>131.82732909379683</v>
      </c>
      <c r="L15" s="124">
        <f>L23*L27</f>
        <v>135.78214896661075</v>
      </c>
      <c r="M15" s="117"/>
      <c r="N15" s="117" t="s">
        <v>337</v>
      </c>
    </row>
    <row r="16" spans="1:14" ht="12.75" customHeight="1" x14ac:dyDescent="0.25">
      <c r="A16" s="117" t="s">
        <v>36</v>
      </c>
      <c r="B16" s="117"/>
      <c r="C16" s="117"/>
      <c r="D16" s="117"/>
      <c r="E16" s="11">
        <f>+'Balance Sheet'!E21</f>
        <v>197.136</v>
      </c>
      <c r="F16" s="11">
        <f>+'Balance Sheet'!F21</f>
        <v>194.001</v>
      </c>
      <c r="G16" s="11">
        <f>+'Balance Sheet'!G21</f>
        <v>210.184</v>
      </c>
      <c r="H16" s="124">
        <f>+H28*H$23</f>
        <v>228.87583124999998</v>
      </c>
      <c r="I16" s="124">
        <f>+I28*I$23</f>
        <v>242.60838112499997</v>
      </c>
      <c r="J16" s="124">
        <f>+J28*J$23</f>
        <v>254.73880018124999</v>
      </c>
      <c r="K16" s="124">
        <f>+K28*K$23</f>
        <v>263.65465818759367</v>
      </c>
      <c r="L16" s="124">
        <f>+L28*L$23</f>
        <v>271.5642979332215</v>
      </c>
      <c r="M16" s="117"/>
      <c r="N16" s="117" t="s">
        <v>212</v>
      </c>
    </row>
    <row r="17" spans="1:14" ht="12.75" customHeight="1" x14ac:dyDescent="0.25">
      <c r="A17" s="125" t="s">
        <v>83</v>
      </c>
      <c r="B17" s="126"/>
      <c r="C17" s="126"/>
      <c r="D17" s="126"/>
      <c r="E17" s="127">
        <f t="shared" ref="E17" si="2">SUM(E14:E16)</f>
        <v>319.16800000000001</v>
      </c>
      <c r="F17" s="127">
        <f t="shared" ref="F17:L17" si="3">SUM(F14:F16)</f>
        <v>306.67200000000003</v>
      </c>
      <c r="G17" s="127">
        <f t="shared" si="3"/>
        <v>335.41899999999998</v>
      </c>
      <c r="H17" s="127">
        <f t="shared" si="3"/>
        <v>362.38673281249999</v>
      </c>
      <c r="I17" s="127">
        <f t="shared" si="3"/>
        <v>384.12993678124997</v>
      </c>
      <c r="J17" s="127">
        <f t="shared" si="3"/>
        <v>403.3364336203125</v>
      </c>
      <c r="K17" s="127">
        <f t="shared" si="3"/>
        <v>417.45320879702331</v>
      </c>
      <c r="L17" s="127">
        <f t="shared" si="3"/>
        <v>429.97680506093405</v>
      </c>
      <c r="M17" s="117"/>
      <c r="N17" s="117"/>
    </row>
    <row r="18" spans="1:14" ht="12.75" customHeight="1" x14ac:dyDescent="0.25">
      <c r="A18" s="117"/>
      <c r="B18" s="117"/>
      <c r="C18" s="117"/>
      <c r="D18" s="117"/>
      <c r="E18" s="117"/>
      <c r="F18" s="117"/>
      <c r="G18" s="117"/>
      <c r="H18" s="122"/>
      <c r="I18" s="122"/>
      <c r="J18" s="122"/>
      <c r="K18" s="122"/>
      <c r="L18" s="122"/>
      <c r="M18" s="117"/>
      <c r="N18" s="117"/>
    </row>
    <row r="19" spans="1:14" ht="12.75" customHeight="1" x14ac:dyDescent="0.25">
      <c r="A19" s="128" t="s">
        <v>84</v>
      </c>
      <c r="B19" s="117"/>
      <c r="C19" s="117"/>
      <c r="D19" s="117"/>
      <c r="E19" s="122">
        <f>E12-E17</f>
        <v>-260.23</v>
      </c>
      <c r="F19" s="122">
        <f>F12-F17</f>
        <v>-244.39000000000001</v>
      </c>
      <c r="G19" s="122">
        <f>G12-G17</f>
        <v>-264.37399999999997</v>
      </c>
      <c r="H19" s="122">
        <f>+H12-H17</f>
        <v>-289.43909344606163</v>
      </c>
      <c r="I19" s="122">
        <f>+I12-I17</f>
        <v>-306.80543905282531</v>
      </c>
      <c r="J19" s="122">
        <f>+J12-J17</f>
        <v>-322.22834205076333</v>
      </c>
      <c r="K19" s="122">
        <f>+K12-K17</f>
        <v>-333.42081089065783</v>
      </c>
      <c r="L19" s="122">
        <f>+L12-L17</f>
        <v>-343.42343521737757</v>
      </c>
      <c r="M19" s="117"/>
      <c r="N19" s="117" t="s">
        <v>85</v>
      </c>
    </row>
    <row r="20" spans="1:14" ht="12.75" customHeight="1" x14ac:dyDescent="0.25">
      <c r="A20" s="128" t="s">
        <v>55</v>
      </c>
      <c r="B20" s="117"/>
      <c r="C20" s="117"/>
      <c r="D20" s="117"/>
      <c r="E20" s="124"/>
      <c r="F20" s="124">
        <f t="shared" ref="F20:L20" si="4">+F19-E19</f>
        <v>15.840000000000003</v>
      </c>
      <c r="G20" s="124">
        <f t="shared" si="4"/>
        <v>-19.983999999999952</v>
      </c>
      <c r="H20" s="124">
        <f t="shared" si="4"/>
        <v>-25.065093446061667</v>
      </c>
      <c r="I20" s="124">
        <f t="shared" si="4"/>
        <v>-17.366345606763673</v>
      </c>
      <c r="J20" s="124">
        <f t="shared" si="4"/>
        <v>-15.422902997938024</v>
      </c>
      <c r="K20" s="124">
        <f t="shared" si="4"/>
        <v>-11.192468839894502</v>
      </c>
      <c r="L20" s="124">
        <f t="shared" si="4"/>
        <v>-10.00262432671974</v>
      </c>
      <c r="M20" s="117"/>
      <c r="N20" s="117" t="s">
        <v>86</v>
      </c>
    </row>
    <row r="21" spans="1:14" ht="12.75" customHeight="1" x14ac:dyDescent="0.25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</row>
    <row r="22" spans="1:14" ht="12.75" customHeight="1" x14ac:dyDescent="0.25">
      <c r="A22" s="117" t="s">
        <v>23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</row>
    <row r="23" spans="1:14" ht="12.75" customHeight="1" x14ac:dyDescent="0.25">
      <c r="A23" s="126" t="s">
        <v>8</v>
      </c>
      <c r="B23" s="126"/>
      <c r="C23" s="126"/>
      <c r="D23" s="126"/>
      <c r="E23" s="318">
        <f>+'Income Statement'!E10</f>
        <v>1253.0039999999999</v>
      </c>
      <c r="F23" s="318">
        <f>+'Income Statement'!F10</f>
        <v>1341.587</v>
      </c>
      <c r="G23" s="318">
        <f>+'Income Statement'!G10</f>
        <v>1419.385</v>
      </c>
      <c r="H23" s="318">
        <f>+'Income Statement'!H10</f>
        <v>1525.8388749999999</v>
      </c>
      <c r="I23" s="318">
        <f>+'Income Statement'!I10</f>
        <v>1617.3892074999999</v>
      </c>
      <c r="J23" s="318">
        <f>+'Income Statement'!J10</f>
        <v>1698.2586678749999</v>
      </c>
      <c r="K23" s="318">
        <f>+'Income Statement'!K10</f>
        <v>1757.6977212506247</v>
      </c>
      <c r="L23" s="318">
        <f>+'Income Statement'!L10</f>
        <v>1810.4286528881435</v>
      </c>
      <c r="M23" s="117"/>
      <c r="N23" s="117" t="s">
        <v>73</v>
      </c>
    </row>
    <row r="24" spans="1:14" ht="12.75" customHeight="1" x14ac:dyDescent="0.25">
      <c r="A24" s="117" t="s">
        <v>87</v>
      </c>
      <c r="B24" s="117"/>
      <c r="C24" s="117"/>
      <c r="D24" s="117"/>
      <c r="E24" s="138">
        <f>E10/E23*E29</f>
        <v>6.3547083648575757</v>
      </c>
      <c r="F24" s="138">
        <f>F10/F23*F29</f>
        <v>6.4566233870781398</v>
      </c>
      <c r="G24" s="138">
        <f>G10/G23*G29</f>
        <v>6.3164645251288416</v>
      </c>
      <c r="H24" s="194">
        <v>6.5</v>
      </c>
      <c r="I24" s="194">
        <v>6.5</v>
      </c>
      <c r="J24" s="194">
        <v>6.5</v>
      </c>
      <c r="K24" s="194">
        <v>6.5</v>
      </c>
      <c r="L24" s="194">
        <v>6.5</v>
      </c>
      <c r="M24" s="117"/>
      <c r="N24" s="117" t="s">
        <v>228</v>
      </c>
    </row>
    <row r="25" spans="1:14" ht="12.75" customHeight="1" x14ac:dyDescent="0.25">
      <c r="A25" s="117" t="s">
        <v>88</v>
      </c>
      <c r="B25" s="117"/>
      <c r="C25" s="117"/>
      <c r="D25" s="117"/>
      <c r="E25" s="139">
        <f>E11/E$23</f>
        <v>2.9627199913168673E-2</v>
      </c>
      <c r="F25" s="139">
        <f>F11/F$23</f>
        <v>2.8783075566474633E-2</v>
      </c>
      <c r="G25" s="139">
        <f>G11/G$23</f>
        <v>3.2747985923480945E-2</v>
      </c>
      <c r="H25" s="312">
        <v>0.03</v>
      </c>
      <c r="I25" s="312">
        <v>0.03</v>
      </c>
      <c r="J25" s="312">
        <v>0.03</v>
      </c>
      <c r="K25" s="312">
        <v>0.03</v>
      </c>
      <c r="L25" s="312">
        <v>0.03</v>
      </c>
      <c r="M25" s="117"/>
      <c r="N25" s="117" t="s">
        <v>89</v>
      </c>
    </row>
    <row r="26" spans="1:14" ht="12.75" customHeight="1" x14ac:dyDescent="0.25">
      <c r="A26" s="117" t="s">
        <v>295</v>
      </c>
      <c r="B26" s="117"/>
      <c r="C26" s="117"/>
      <c r="D26" s="117"/>
      <c r="E26" s="271">
        <f>+E14/E$23</f>
        <v>5.5075642216625012E-3</v>
      </c>
      <c r="F26" s="271">
        <f>+F14/F$23</f>
        <v>1.1933627860138777E-2</v>
      </c>
      <c r="G26" s="271">
        <f>+G14/G$23</f>
        <v>1.4166698957647151E-2</v>
      </c>
      <c r="H26" s="312">
        <v>1.2500000000000001E-2</v>
      </c>
      <c r="I26" s="312">
        <v>1.2500000000000001E-2</v>
      </c>
      <c r="J26" s="312">
        <v>1.2500000000000001E-2</v>
      </c>
      <c r="K26" s="312">
        <v>1.2500000000000001E-2</v>
      </c>
      <c r="L26" s="312">
        <v>1.2500000000000001E-2</v>
      </c>
      <c r="M26" s="118"/>
      <c r="N26" s="117" t="s">
        <v>296</v>
      </c>
    </row>
    <row r="27" spans="1:14" ht="12.75" customHeight="1" x14ac:dyDescent="0.25">
      <c r="A27" s="117" t="s">
        <v>335</v>
      </c>
      <c r="B27" s="117"/>
      <c r="C27" s="117"/>
      <c r="D27" s="117"/>
      <c r="E27" s="139">
        <f>E15/E23</f>
        <v>9.18839844086691E-2</v>
      </c>
      <c r="F27" s="139">
        <f>F15/F23</f>
        <v>7.2049744071759791E-2</v>
      </c>
      <c r="G27" s="139">
        <f>G15/G23</f>
        <v>7.4065176115007555E-2</v>
      </c>
      <c r="H27" s="312">
        <v>7.4999999999999997E-2</v>
      </c>
      <c r="I27" s="312">
        <v>7.4999999999999997E-2</v>
      </c>
      <c r="J27" s="312">
        <v>7.4999999999999997E-2</v>
      </c>
      <c r="K27" s="312">
        <v>7.4999999999999997E-2</v>
      </c>
      <c r="L27" s="312">
        <v>7.4999999999999997E-2</v>
      </c>
      <c r="M27" s="118"/>
      <c r="N27" s="117" t="s">
        <v>336</v>
      </c>
    </row>
    <row r="28" spans="1:14" ht="12.75" customHeight="1" x14ac:dyDescent="0.25">
      <c r="A28" s="117" t="s">
        <v>90</v>
      </c>
      <c r="B28" s="117"/>
      <c r="C28" s="117"/>
      <c r="D28" s="117"/>
      <c r="E28" s="139">
        <f>E16/E$23</f>
        <v>0.15733070285489911</v>
      </c>
      <c r="F28" s="139">
        <f>F16/F$23</f>
        <v>0.14460560515270349</v>
      </c>
      <c r="G28" s="139">
        <f>G16/G$23</f>
        <v>0.14808103509618603</v>
      </c>
      <c r="H28" s="312">
        <v>0.15</v>
      </c>
      <c r="I28" s="312">
        <v>0.15</v>
      </c>
      <c r="J28" s="312">
        <v>0.15</v>
      </c>
      <c r="K28" s="312">
        <v>0.15</v>
      </c>
      <c r="L28" s="312">
        <v>0.15</v>
      </c>
      <c r="M28" s="117"/>
      <c r="N28" s="117" t="s">
        <v>91</v>
      </c>
    </row>
    <row r="29" spans="1:14" ht="12.75" customHeight="1" x14ac:dyDescent="0.25">
      <c r="A29" s="117" t="s">
        <v>92</v>
      </c>
      <c r="B29" s="117"/>
      <c r="C29" s="117"/>
      <c r="D29" s="117"/>
      <c r="E29" s="14">
        <v>365</v>
      </c>
      <c r="F29" s="308">
        <v>366</v>
      </c>
      <c r="G29" s="308">
        <v>365</v>
      </c>
      <c r="H29" s="308">
        <v>365</v>
      </c>
      <c r="I29" s="308">
        <v>365</v>
      </c>
      <c r="J29" s="308">
        <v>366</v>
      </c>
      <c r="K29" s="308">
        <v>365</v>
      </c>
      <c r="L29" s="308">
        <v>365</v>
      </c>
      <c r="M29" s="117"/>
      <c r="N29" s="117"/>
    </row>
    <row r="30" spans="1:14" ht="12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</row>
    <row r="31" spans="1:14" ht="12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</row>
    <row r="32" spans="1:14" ht="12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</row>
    <row r="33" spans="1:14" ht="12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</row>
    <row r="34" spans="1:14" ht="12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</row>
    <row r="35" spans="1:14" ht="12.75" customHeight="1" x14ac:dyDescent="0.25">
      <c r="A35" s="117"/>
    </row>
    <row r="36" spans="1:14" ht="12.75" customHeight="1" x14ac:dyDescent="0.25">
      <c r="A36" s="117"/>
    </row>
    <row r="37" spans="1:14" ht="12.75" customHeight="1" x14ac:dyDescent="0.25">
      <c r="A37" s="117"/>
    </row>
    <row r="38" spans="1:14" ht="12.75" customHeight="1" x14ac:dyDescent="0.25">
      <c r="A38" s="117"/>
    </row>
    <row r="39" spans="1:14" ht="12.75" customHeight="1" x14ac:dyDescent="0.25">
      <c r="A39" s="117"/>
    </row>
    <row r="40" spans="1:14" ht="12.75" customHeight="1" x14ac:dyDescent="0.25">
      <c r="A40" s="117"/>
    </row>
    <row r="41" spans="1:14" ht="12.75" customHeight="1" x14ac:dyDescent="0.25">
      <c r="A41" s="117"/>
    </row>
    <row r="42" spans="1:14" ht="12.75" customHeight="1" x14ac:dyDescent="0.25">
      <c r="A42" s="117"/>
    </row>
    <row r="43" spans="1:14" ht="12.75" customHeight="1" x14ac:dyDescent="0.25">
      <c r="A43" s="117"/>
    </row>
    <row r="44" spans="1:14" ht="12.75" customHeight="1" x14ac:dyDescent="0.25">
      <c r="A44" s="129"/>
    </row>
    <row r="45" spans="1:14" ht="12.75" customHeight="1" x14ac:dyDescent="0.25">
      <c r="A45" s="117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0"/>
  <sheetViews>
    <sheetView showGridLines="0" zoomScale="85" zoomScaleNormal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375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21" t="s">
        <v>2</v>
      </c>
      <c r="M1" s="117"/>
      <c r="N1" s="117"/>
    </row>
    <row r="2" spans="1:14" ht="15.95" customHeight="1" thickBot="1" x14ac:dyDescent="0.3">
      <c r="A2" s="4" t="s">
        <v>93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22" t="s">
        <v>215</v>
      </c>
      <c r="M2" s="117"/>
      <c r="N2" s="117"/>
    </row>
    <row r="3" spans="1:14" ht="12.7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1:14" ht="12.75" customHeight="1" x14ac:dyDescent="0.25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</row>
    <row r="5" spans="1:14" ht="12.75" customHeight="1" x14ac:dyDescent="0.25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</row>
    <row r="6" spans="1:14" ht="12.75" customHeight="1" x14ac:dyDescent="0.25">
      <c r="A6" s="117"/>
      <c r="B6" s="117"/>
      <c r="C6" s="117"/>
      <c r="D6" s="117"/>
      <c r="E6" s="172" t="s">
        <v>229</v>
      </c>
      <c r="F6" s="172"/>
      <c r="G6" s="172"/>
      <c r="H6" s="172"/>
      <c r="I6" s="173"/>
      <c r="J6" s="173"/>
      <c r="K6" s="173"/>
      <c r="L6" s="173"/>
      <c r="M6" s="26"/>
      <c r="N6" s="26"/>
    </row>
    <row r="7" spans="1:14" ht="12.75" customHeight="1" x14ac:dyDescent="0.25">
      <c r="A7" s="117"/>
      <c r="B7" s="117"/>
      <c r="C7" s="117"/>
      <c r="D7" s="117"/>
      <c r="E7" s="361" t="s">
        <v>332</v>
      </c>
      <c r="F7" s="361" t="s">
        <v>354</v>
      </c>
      <c r="G7" s="361" t="s">
        <v>397</v>
      </c>
      <c r="H7" s="361" t="s">
        <v>4</v>
      </c>
      <c r="I7" s="361" t="s">
        <v>5</v>
      </c>
      <c r="J7" s="361" t="s">
        <v>333</v>
      </c>
      <c r="K7" s="361" t="s">
        <v>355</v>
      </c>
      <c r="L7" s="361" t="s">
        <v>398</v>
      </c>
      <c r="M7" s="26"/>
      <c r="N7" s="27" t="s">
        <v>6</v>
      </c>
    </row>
    <row r="8" spans="1:14" ht="12.75" customHeight="1" x14ac:dyDescent="0.25">
      <c r="A8" s="7" t="s">
        <v>94</v>
      </c>
      <c r="B8" s="117"/>
      <c r="C8" s="117"/>
      <c r="D8" s="117"/>
      <c r="E8" s="121"/>
      <c r="F8" s="121"/>
      <c r="G8" s="121"/>
      <c r="H8" s="117"/>
      <c r="I8" s="117"/>
      <c r="J8" s="117"/>
      <c r="K8" s="117"/>
      <c r="L8" s="117"/>
      <c r="M8" s="26"/>
      <c r="N8" s="26"/>
    </row>
    <row r="9" spans="1:14" ht="3" customHeight="1" x14ac:dyDescent="0.25">
      <c r="A9" s="117"/>
      <c r="B9" s="117"/>
      <c r="C9" s="117"/>
      <c r="D9" s="117"/>
      <c r="E9" s="121"/>
      <c r="F9" s="121"/>
      <c r="G9" s="121"/>
      <c r="H9" s="117"/>
      <c r="I9" s="117"/>
      <c r="J9" s="117"/>
      <c r="K9" s="117"/>
      <c r="L9" s="117"/>
      <c r="M9" s="117"/>
      <c r="N9" s="117"/>
    </row>
    <row r="10" spans="1:14" ht="12.75" customHeight="1" x14ac:dyDescent="0.25">
      <c r="A10" s="117" t="s">
        <v>297</v>
      </c>
      <c r="B10" s="117"/>
      <c r="C10" s="117"/>
      <c r="D10" s="117"/>
      <c r="E10" s="117"/>
      <c r="F10" s="117"/>
      <c r="G10" s="117"/>
      <c r="H10" s="16">
        <f>+G14</f>
        <v>274.92502225600526</v>
      </c>
      <c r="I10" s="16">
        <f ca="1">+H14</f>
        <v>294.96864090669283</v>
      </c>
      <c r="J10" s="16">
        <f ca="1">+I14</f>
        <v>321.53099564934126</v>
      </c>
      <c r="K10" s="16">
        <f ca="1">+J14</f>
        <v>357.39897734730363</v>
      </c>
      <c r="L10" s="16">
        <f ca="1">+K14</f>
        <v>401.11189241762918</v>
      </c>
      <c r="M10" s="117"/>
      <c r="N10" s="117" t="s">
        <v>315</v>
      </c>
    </row>
    <row r="11" spans="1:14" ht="12.75" customHeight="1" x14ac:dyDescent="0.25">
      <c r="A11" s="117" t="s">
        <v>95</v>
      </c>
      <c r="B11" s="117"/>
      <c r="C11" s="117"/>
      <c r="D11" s="117"/>
      <c r="E11" s="117"/>
      <c r="F11" s="117"/>
      <c r="G11" s="117"/>
      <c r="H11" s="11">
        <f ca="1">+'Income Statement'!H25</f>
        <v>94.717135989674063</v>
      </c>
      <c r="I11" s="11">
        <f ca="1">+'Income Statement'!I25</f>
        <v>101.01777484281831</v>
      </c>
      <c r="J11" s="11">
        <f ca="1">+'Income Statement'!J25</f>
        <v>110.19090953957883</v>
      </c>
      <c r="K11" s="11">
        <f ca="1">+'Income Statement'!K25</f>
        <v>118.66869544961168</v>
      </c>
      <c r="L11" s="11">
        <f ca="1">+'Income Statement'!L25</f>
        <v>126.52081447246991</v>
      </c>
      <c r="M11" s="117"/>
      <c r="N11" s="117" t="s">
        <v>73</v>
      </c>
    </row>
    <row r="12" spans="1:14" ht="12.75" customHeight="1" x14ac:dyDescent="0.25">
      <c r="A12" s="117" t="s">
        <v>96</v>
      </c>
      <c r="B12" s="117"/>
      <c r="C12" s="117"/>
      <c r="D12" s="117"/>
      <c r="E12" s="5"/>
      <c r="F12" s="5"/>
      <c r="G12" s="5"/>
      <c r="H12" s="17">
        <f ca="1">-H41</f>
        <v>-44.673517338986493</v>
      </c>
      <c r="I12" s="17">
        <f ca="1">-I41</f>
        <v>-44.455420100169889</v>
      </c>
      <c r="J12" s="17">
        <f ca="1">-J41</f>
        <v>-44.322927841616504</v>
      </c>
      <c r="K12" s="17">
        <f ca="1">-K41</f>
        <v>-44.955780379285606</v>
      </c>
      <c r="L12" s="17">
        <f ca="1">-L41</f>
        <v>-45.633988783266936</v>
      </c>
      <c r="M12" s="117"/>
      <c r="N12" s="117" t="s">
        <v>97</v>
      </c>
    </row>
    <row r="13" spans="1:14" ht="12.75" customHeight="1" x14ac:dyDescent="0.25">
      <c r="A13" s="117" t="s">
        <v>98</v>
      </c>
      <c r="B13" s="117"/>
      <c r="C13" s="117"/>
      <c r="D13" s="117"/>
      <c r="E13" s="5"/>
      <c r="F13" s="5"/>
      <c r="G13" s="5"/>
      <c r="H13" s="17">
        <f>-H32</f>
        <v>-30</v>
      </c>
      <c r="I13" s="17">
        <f>-I32</f>
        <v>-30</v>
      </c>
      <c r="J13" s="17">
        <f>-J32</f>
        <v>-30</v>
      </c>
      <c r="K13" s="17">
        <f>-K32</f>
        <v>-30</v>
      </c>
      <c r="L13" s="17">
        <f>-L32</f>
        <v>-30</v>
      </c>
      <c r="M13" s="117"/>
      <c r="N13" s="272" t="s">
        <v>423</v>
      </c>
    </row>
    <row r="14" spans="1:14" ht="12.75" customHeight="1" x14ac:dyDescent="0.25">
      <c r="A14" s="125" t="s">
        <v>298</v>
      </c>
      <c r="B14" s="126"/>
      <c r="C14" s="126"/>
      <c r="D14" s="126"/>
      <c r="E14" s="126"/>
      <c r="F14" s="126"/>
      <c r="G14" s="12">
        <f>+'Balance Sheet'!G28</f>
        <v>274.92502225600526</v>
      </c>
      <c r="H14" s="127">
        <f ca="1">SUM(H10:H13)</f>
        <v>294.96864090669283</v>
      </c>
      <c r="I14" s="127">
        <f ca="1">SUM(I10:I13)</f>
        <v>321.53099564934126</v>
      </c>
      <c r="J14" s="127">
        <f ca="1">SUM(J10:J13)</f>
        <v>357.39897734730363</v>
      </c>
      <c r="K14" s="127">
        <f ca="1">SUM(K10:K13)</f>
        <v>401.11189241762969</v>
      </c>
      <c r="L14" s="127">
        <f ca="1">SUM(L10:L13)</f>
        <v>451.9987181068322</v>
      </c>
      <c r="M14" s="117"/>
      <c r="N14" s="117" t="s">
        <v>399</v>
      </c>
    </row>
    <row r="15" spans="1:14" ht="12.75" customHeight="1" x14ac:dyDescent="0.25">
      <c r="A15" s="132"/>
      <c r="B15" s="118"/>
      <c r="C15" s="118"/>
      <c r="D15" s="118"/>
      <c r="E15" s="118"/>
      <c r="F15" s="118"/>
      <c r="G15" s="118"/>
      <c r="H15" s="133"/>
      <c r="I15" s="133"/>
      <c r="J15" s="133"/>
      <c r="K15" s="133"/>
      <c r="L15" s="133"/>
      <c r="M15" s="117"/>
      <c r="N15" s="117"/>
    </row>
    <row r="16" spans="1:14" ht="12.75" customHeight="1" x14ac:dyDescent="0.25">
      <c r="A16" s="7" t="s">
        <v>99</v>
      </c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26"/>
      <c r="N16" s="26"/>
    </row>
    <row r="17" spans="1:14" ht="3" customHeight="1" x14ac:dyDescent="0.25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</row>
    <row r="18" spans="1:14" ht="12.75" customHeight="1" x14ac:dyDescent="0.25">
      <c r="A18" s="117" t="s">
        <v>300</v>
      </c>
      <c r="B18" s="117"/>
      <c r="C18" s="117"/>
      <c r="D18" s="319"/>
      <c r="E18" s="320">
        <v>17.413</v>
      </c>
      <c r="F18" s="131">
        <f>+E21</f>
        <v>16.195722761596549</v>
      </c>
      <c r="G18" s="131">
        <f t="shared" ref="G18:L18" si="0">+F21</f>
        <v>15.275090218278486</v>
      </c>
      <c r="H18" s="131">
        <f t="shared" si="0"/>
        <v>14.568283555966271</v>
      </c>
      <c r="I18" s="131">
        <f t="shared" ca="1" si="0"/>
        <v>14.253340533702435</v>
      </c>
      <c r="J18" s="131">
        <f t="shared" ca="1" si="0"/>
        <v>13.972323021960989</v>
      </c>
      <c r="K18" s="131">
        <f t="shared" ca="1" si="0"/>
        <v>13.729506879049323</v>
      </c>
      <c r="L18" s="131">
        <f t="shared" ca="1" si="0"/>
        <v>13.516420623548019</v>
      </c>
      <c r="M18" s="117"/>
      <c r="N18" s="117"/>
    </row>
    <row r="19" spans="1:14" ht="12.75" customHeight="1" x14ac:dyDescent="0.25">
      <c r="A19" s="117" t="s">
        <v>213</v>
      </c>
      <c r="B19" s="117"/>
      <c r="C19" s="117"/>
      <c r="D19" s="117"/>
      <c r="E19" s="8">
        <v>-1.281833872707659</v>
      </c>
      <c r="F19" s="194">
        <v>-1.0438757219677355</v>
      </c>
      <c r="G19" s="194">
        <v>-0.7746734160679295</v>
      </c>
      <c r="H19" s="321">
        <f ca="1">-H30</f>
        <v>-0.4149430222638355</v>
      </c>
      <c r="I19" s="321">
        <f ca="1">-I30</f>
        <v>-0.38101751174144632</v>
      </c>
      <c r="J19" s="321">
        <f ca="1">-J30</f>
        <v>-0.34281614291166662</v>
      </c>
      <c r="K19" s="321">
        <f ca="1">-K30</f>
        <v>-0.31308625550128294</v>
      </c>
      <c r="L19" s="321">
        <f ca="1">-L30</f>
        <v>-0.28931843340939645</v>
      </c>
      <c r="M19" s="117"/>
      <c r="N19" s="117" t="s">
        <v>361</v>
      </c>
    </row>
    <row r="20" spans="1:14" ht="12.75" customHeight="1" x14ac:dyDescent="0.25">
      <c r="A20" s="117" t="s">
        <v>409</v>
      </c>
      <c r="B20" s="117"/>
      <c r="C20" s="117"/>
      <c r="D20" s="117"/>
      <c r="E20" s="8">
        <v>6.4556634304207106E-2</v>
      </c>
      <c r="F20" s="194">
        <v>0.12324317864967138</v>
      </c>
      <c r="G20" s="194">
        <v>6.7866753755715228E-2</v>
      </c>
      <c r="H20" s="194">
        <v>0.1</v>
      </c>
      <c r="I20" s="194">
        <v>0.1</v>
      </c>
      <c r="J20" s="194">
        <v>0.1</v>
      </c>
      <c r="K20" s="194">
        <v>0.1</v>
      </c>
      <c r="L20" s="194">
        <v>0.1</v>
      </c>
      <c r="M20" s="117"/>
      <c r="N20" s="117"/>
    </row>
    <row r="21" spans="1:14" ht="12.75" customHeight="1" x14ac:dyDescent="0.25">
      <c r="A21" s="125" t="s">
        <v>299</v>
      </c>
      <c r="B21" s="126"/>
      <c r="C21" s="126"/>
      <c r="D21" s="126"/>
      <c r="E21" s="195">
        <f t="shared" ref="E21:L21" si="1">SUM(E18:E20)</f>
        <v>16.195722761596549</v>
      </c>
      <c r="F21" s="322">
        <f t="shared" si="1"/>
        <v>15.275090218278486</v>
      </c>
      <c r="G21" s="322">
        <f t="shared" si="1"/>
        <v>14.568283555966271</v>
      </c>
      <c r="H21" s="322">
        <f t="shared" ca="1" si="1"/>
        <v>14.253340533702435</v>
      </c>
      <c r="I21" s="322">
        <f t="shared" ca="1" si="1"/>
        <v>13.972323021960989</v>
      </c>
      <c r="J21" s="322">
        <f t="shared" ca="1" si="1"/>
        <v>13.729506879049321</v>
      </c>
      <c r="K21" s="322">
        <f t="shared" ca="1" si="1"/>
        <v>13.51642062354804</v>
      </c>
      <c r="L21" s="322">
        <f t="shared" ca="1" si="1"/>
        <v>13.327102190138621</v>
      </c>
      <c r="M21" s="117"/>
      <c r="N21" s="117"/>
    </row>
    <row r="22" spans="1:14" ht="12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</row>
    <row r="23" spans="1:14" ht="12.75" customHeight="1" x14ac:dyDescent="0.25">
      <c r="A23" s="117" t="s">
        <v>23</v>
      </c>
      <c r="B23" s="117"/>
      <c r="C23" s="117"/>
      <c r="D23" s="117"/>
      <c r="E23" s="124"/>
      <c r="F23" s="131"/>
      <c r="G23" s="117"/>
      <c r="H23" s="117"/>
      <c r="I23" s="117"/>
      <c r="J23" s="117"/>
      <c r="K23" s="117"/>
      <c r="L23" s="117"/>
      <c r="M23" s="117"/>
      <c r="N23" s="117"/>
    </row>
    <row r="24" spans="1:14" ht="12.75" customHeight="1" x14ac:dyDescent="0.25">
      <c r="A24" s="140" t="s">
        <v>292</v>
      </c>
      <c r="B24" s="126"/>
      <c r="C24" s="126"/>
      <c r="D24" s="126"/>
      <c r="E24" s="196">
        <v>16.804361380798273</v>
      </c>
      <c r="F24" s="323">
        <v>15.735406489937516</v>
      </c>
      <c r="G24" s="323">
        <v>14.921686887122377</v>
      </c>
      <c r="H24" s="322">
        <f ca="1">AVERAGE(H21,H18)</f>
        <v>14.410812044834353</v>
      </c>
      <c r="I24" s="322">
        <f ca="1">AVERAGE(I21,I18)</f>
        <v>14.112831777831712</v>
      </c>
      <c r="J24" s="322">
        <f ca="1">AVERAGE(J21,J18)</f>
        <v>13.850914950505155</v>
      </c>
      <c r="K24" s="322">
        <f ca="1">AVERAGE(K21,K18)</f>
        <v>13.622963751298681</v>
      </c>
      <c r="L24" s="322">
        <f ca="1">AVERAGE(L21,L18)</f>
        <v>13.42176140684332</v>
      </c>
      <c r="M24" s="117"/>
      <c r="N24" s="141" t="s">
        <v>360</v>
      </c>
    </row>
    <row r="25" spans="1:14" ht="12.75" customHeight="1" x14ac:dyDescent="0.25">
      <c r="A25" s="117" t="s">
        <v>20</v>
      </c>
      <c r="B25" s="117"/>
      <c r="C25" s="117"/>
      <c r="D25" s="117"/>
      <c r="E25" s="10">
        <f>+'Income Statement'!E25</f>
        <v>72.311184806562494</v>
      </c>
      <c r="F25" s="10">
        <f>+'Income Statement'!F25</f>
        <v>70.855361384251481</v>
      </c>
      <c r="G25" s="10">
        <f>+'Income Statement'!G25</f>
        <v>83.649576065191297</v>
      </c>
      <c r="H25" s="10">
        <f ca="1">+'Income Statement'!H25</f>
        <v>94.717135989674063</v>
      </c>
      <c r="I25" s="10">
        <f ca="1">+'Income Statement'!I25</f>
        <v>101.01777484281831</v>
      </c>
      <c r="J25" s="10">
        <f ca="1">+'Income Statement'!J25</f>
        <v>110.19090953957883</v>
      </c>
      <c r="K25" s="10">
        <f ca="1">+'Income Statement'!K25</f>
        <v>118.66869544961168</v>
      </c>
      <c r="L25" s="10">
        <f ca="1">+'Income Statement'!L25</f>
        <v>126.52081447246991</v>
      </c>
      <c r="M25" s="117"/>
      <c r="N25" s="117" t="s">
        <v>73</v>
      </c>
    </row>
    <row r="26" spans="1:14" ht="12.75" customHeight="1" x14ac:dyDescent="0.25">
      <c r="A26" s="117" t="s">
        <v>100</v>
      </c>
      <c r="B26" s="117"/>
      <c r="C26" s="117"/>
      <c r="D26" s="117"/>
      <c r="E26" s="142">
        <f t="shared" ref="E26:L26" si="2">+E25/E24</f>
        <v>4.3031200750770466</v>
      </c>
      <c r="F26" s="142">
        <f t="shared" si="2"/>
        <v>4.5029253886489746</v>
      </c>
      <c r="G26" s="142">
        <f t="shared" si="2"/>
        <v>5.6059061350082375</v>
      </c>
      <c r="H26" s="142">
        <f t="shared" ca="1" si="2"/>
        <v>6.5726439075739673</v>
      </c>
      <c r="I26" s="142">
        <f t="shared" ca="1" si="2"/>
        <v>7.1578671405618239</v>
      </c>
      <c r="J26" s="142">
        <f t="shared" ca="1" si="2"/>
        <v>7.9554967981057505</v>
      </c>
      <c r="K26" s="142">
        <f t="shared" ca="1" si="2"/>
        <v>8.7109308676167441</v>
      </c>
      <c r="L26" s="142">
        <f t="shared" ca="1" si="2"/>
        <v>9.4265432559366662</v>
      </c>
      <c r="M26" s="117"/>
      <c r="N26" s="117" t="s">
        <v>101</v>
      </c>
    </row>
    <row r="27" spans="1:14" ht="12.75" customHeight="1" x14ac:dyDescent="0.25">
      <c r="A27" s="117"/>
      <c r="B27" s="117"/>
      <c r="C27" s="117"/>
      <c r="D27" s="117"/>
      <c r="E27" s="142"/>
      <c r="F27" s="142"/>
      <c r="G27" s="142"/>
      <c r="H27" s="142"/>
      <c r="I27" s="142"/>
      <c r="J27" s="142"/>
      <c r="K27" s="142"/>
      <c r="L27" s="142"/>
      <c r="M27" s="117"/>
      <c r="N27" s="117"/>
    </row>
    <row r="28" spans="1:14" ht="12.75" customHeight="1" x14ac:dyDescent="0.25">
      <c r="A28" s="7" t="s">
        <v>102</v>
      </c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</row>
    <row r="29" spans="1:14" ht="3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</row>
    <row r="30" spans="1:14" ht="12.75" customHeight="1" x14ac:dyDescent="0.25">
      <c r="A30" s="117" t="s">
        <v>213</v>
      </c>
      <c r="B30" s="117"/>
      <c r="C30" s="117"/>
      <c r="D30" s="117"/>
      <c r="E30" s="197">
        <f>-E19</f>
        <v>1.281833872707659</v>
      </c>
      <c r="F30" s="197">
        <f>-F19</f>
        <v>1.0438757219677355</v>
      </c>
      <c r="G30" s="197">
        <f>-G19</f>
        <v>0.7746734160679295</v>
      </c>
      <c r="H30" s="280">
        <f ca="1">H32/H31</f>
        <v>0.4149430222638355</v>
      </c>
      <c r="I30" s="280">
        <f ca="1">I32/I31</f>
        <v>0.38101751174144632</v>
      </c>
      <c r="J30" s="280">
        <f ca="1">J32/J31</f>
        <v>0.34281614291166668</v>
      </c>
      <c r="K30" s="280">
        <f ca="1">K32/K31</f>
        <v>0.31308625550129077</v>
      </c>
      <c r="L30" s="280">
        <f ca="1">L32/L31</f>
        <v>0.28931843340916469</v>
      </c>
      <c r="M30" s="117"/>
      <c r="N30" s="117" t="s">
        <v>370</v>
      </c>
    </row>
    <row r="31" spans="1:14" ht="12.75" customHeight="1" x14ac:dyDescent="0.25">
      <c r="A31" s="117" t="s">
        <v>103</v>
      </c>
      <c r="B31" s="117"/>
      <c r="C31" s="117"/>
      <c r="D31" s="117"/>
      <c r="E31" s="142">
        <f>+E32/E30</f>
        <v>46.35</v>
      </c>
      <c r="F31" s="142">
        <f>+F32/F30</f>
        <v>50.21</v>
      </c>
      <c r="G31" s="142">
        <f>+G32/G30</f>
        <v>61.24</v>
      </c>
      <c r="H31" s="170">
        <f ca="1">+H35*H26</f>
        <v>72.299082983313639</v>
      </c>
      <c r="I31" s="170">
        <f ca="1">+I35*I26</f>
        <v>78.736538546180057</v>
      </c>
      <c r="J31" s="170">
        <f ca="1">+J35*J26</f>
        <v>87.510464779163257</v>
      </c>
      <c r="K31" s="170">
        <f ca="1">+K35*K26</f>
        <v>95.820239543784183</v>
      </c>
      <c r="L31" s="170">
        <f ca="1">+L35*L26</f>
        <v>103.69197581530332</v>
      </c>
      <c r="M31" s="117"/>
      <c r="N31" s="117" t="s">
        <v>369</v>
      </c>
    </row>
    <row r="32" spans="1:14" ht="12.75" customHeight="1" x14ac:dyDescent="0.25">
      <c r="A32" s="125" t="s">
        <v>225</v>
      </c>
      <c r="B32" s="126"/>
      <c r="C32" s="126"/>
      <c r="D32" s="126"/>
      <c r="E32" s="165">
        <v>59.412999999999997</v>
      </c>
      <c r="F32" s="324">
        <v>52.412999999999997</v>
      </c>
      <c r="G32" s="324">
        <v>47.441000000000003</v>
      </c>
      <c r="H32" s="324">
        <v>30</v>
      </c>
      <c r="I32" s="324">
        <v>30</v>
      </c>
      <c r="J32" s="324">
        <v>30</v>
      </c>
      <c r="K32" s="324">
        <v>30</v>
      </c>
      <c r="L32" s="324">
        <v>30</v>
      </c>
      <c r="M32" s="117"/>
      <c r="N32" s="117"/>
    </row>
    <row r="33" spans="1:14" ht="12.75" customHeight="1" x14ac:dyDescent="0.25">
      <c r="A33" s="132"/>
      <c r="B33" s="118"/>
      <c r="C33" s="118"/>
      <c r="D33" s="118"/>
      <c r="E33" s="169"/>
      <c r="F33" s="169"/>
      <c r="G33" s="169"/>
      <c r="H33" s="169"/>
      <c r="I33" s="169"/>
      <c r="J33" s="169"/>
      <c r="K33" s="169"/>
      <c r="L33" s="169"/>
      <c r="M33" s="117"/>
      <c r="N33" s="117"/>
    </row>
    <row r="34" spans="1:14" ht="12.75" customHeight="1" x14ac:dyDescent="0.25">
      <c r="A34" s="129" t="s">
        <v>23</v>
      </c>
      <c r="B34" s="118"/>
      <c r="C34" s="118"/>
      <c r="D34" s="118"/>
      <c r="E34" s="169"/>
      <c r="F34" s="169"/>
      <c r="G34" s="169"/>
      <c r="H34" s="169"/>
      <c r="I34" s="169"/>
      <c r="J34" s="169"/>
      <c r="K34" s="169"/>
      <c r="L34" s="169"/>
      <c r="M34" s="117"/>
      <c r="N34" s="117"/>
    </row>
    <row r="35" spans="1:14" ht="12.75" customHeight="1" x14ac:dyDescent="0.25">
      <c r="A35" s="140" t="s">
        <v>221</v>
      </c>
      <c r="B35" s="126"/>
      <c r="C35" s="126"/>
      <c r="D35" s="126"/>
      <c r="E35" s="171">
        <f>+E31/E26</f>
        <v>10.77125415775671</v>
      </c>
      <c r="F35" s="325">
        <f>+F31/F26</f>
        <v>11.150528970915206</v>
      </c>
      <c r="G35" s="325">
        <f>+G31/G26</f>
        <v>10.924192900334749</v>
      </c>
      <c r="H35" s="326">
        <v>11</v>
      </c>
      <c r="I35" s="326">
        <v>11</v>
      </c>
      <c r="J35" s="326">
        <v>11</v>
      </c>
      <c r="K35" s="326">
        <v>11</v>
      </c>
      <c r="L35" s="326">
        <v>11</v>
      </c>
      <c r="M35" s="117"/>
      <c r="N35" s="117" t="s">
        <v>224</v>
      </c>
    </row>
    <row r="36" spans="1:14" ht="12.75" customHeight="1" x14ac:dyDescent="0.25">
      <c r="A36" s="118"/>
      <c r="B36" s="118"/>
      <c r="C36" s="118"/>
      <c r="D36" s="118"/>
      <c r="E36" s="118"/>
      <c r="F36" s="143"/>
      <c r="G36" s="143"/>
      <c r="H36" s="18"/>
      <c r="I36" s="18"/>
      <c r="J36" s="18"/>
      <c r="K36" s="18"/>
      <c r="L36" s="18"/>
      <c r="M36" s="117"/>
      <c r="N36" s="117"/>
    </row>
    <row r="37" spans="1:14" ht="12.75" customHeight="1" x14ac:dyDescent="0.25">
      <c r="A37" s="7" t="s">
        <v>104</v>
      </c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</row>
    <row r="38" spans="1:14" ht="3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</row>
    <row r="39" spans="1:14" ht="12.75" customHeight="1" x14ac:dyDescent="0.25">
      <c r="A39" s="117" t="s">
        <v>292</v>
      </c>
      <c r="B39" s="117"/>
      <c r="C39" s="117"/>
      <c r="D39" s="117"/>
      <c r="E39" s="197">
        <f t="shared" ref="E39:L39" si="3">+E24</f>
        <v>16.804361380798273</v>
      </c>
      <c r="F39" s="197">
        <f t="shared" si="3"/>
        <v>15.735406489937516</v>
      </c>
      <c r="G39" s="197">
        <f t="shared" si="3"/>
        <v>14.921686887122377</v>
      </c>
      <c r="H39" s="197">
        <f t="shared" ca="1" si="3"/>
        <v>14.410812044834353</v>
      </c>
      <c r="I39" s="197">
        <f t="shared" ca="1" si="3"/>
        <v>14.112831777831712</v>
      </c>
      <c r="J39" s="197">
        <f t="shared" ca="1" si="3"/>
        <v>13.850914950505155</v>
      </c>
      <c r="K39" s="197">
        <f t="shared" ca="1" si="3"/>
        <v>13.622963751298681</v>
      </c>
      <c r="L39" s="197">
        <f t="shared" ca="1" si="3"/>
        <v>13.42176140684332</v>
      </c>
      <c r="M39" s="117"/>
      <c r="N39" s="117" t="s">
        <v>105</v>
      </c>
    </row>
    <row r="40" spans="1:14" ht="12.75" customHeight="1" x14ac:dyDescent="0.25">
      <c r="A40" s="117" t="s">
        <v>106</v>
      </c>
      <c r="B40" s="117"/>
      <c r="C40" s="117"/>
      <c r="D40" s="117"/>
      <c r="E40" s="327">
        <f>+E41/E39</f>
        <v>2.6009497778322435</v>
      </c>
      <c r="F40" s="327">
        <f>+F41/F39</f>
        <v>2.8266190662721558</v>
      </c>
      <c r="G40" s="327">
        <f>+G41/G39</f>
        <v>3.0076894348139613</v>
      </c>
      <c r="H40" s="328">
        <v>3.1</v>
      </c>
      <c r="I40" s="328">
        <v>3.15</v>
      </c>
      <c r="J40" s="328">
        <v>3.2</v>
      </c>
      <c r="K40" s="328">
        <v>3.3</v>
      </c>
      <c r="L40" s="328">
        <v>3.4</v>
      </c>
      <c r="M40" s="117"/>
      <c r="N40" s="117" t="s">
        <v>368</v>
      </c>
    </row>
    <row r="41" spans="1:14" ht="12.75" customHeight="1" x14ac:dyDescent="0.25">
      <c r="A41" s="125" t="s">
        <v>301</v>
      </c>
      <c r="B41" s="126"/>
      <c r="C41" s="126"/>
      <c r="D41" s="126"/>
      <c r="E41" s="324">
        <v>43.707299999999996</v>
      </c>
      <c r="F41" s="324">
        <v>44.478000000000002</v>
      </c>
      <c r="G41" s="324">
        <v>44.879799999999996</v>
      </c>
      <c r="H41" s="329">
        <f ca="1">+H39*H40</f>
        <v>44.673517338986493</v>
      </c>
      <c r="I41" s="329">
        <f ca="1">+I39*I40</f>
        <v>44.455420100169889</v>
      </c>
      <c r="J41" s="329">
        <f ca="1">+J39*J40</f>
        <v>44.322927841616497</v>
      </c>
      <c r="K41" s="329">
        <f ca="1">+K39*K40</f>
        <v>44.955780379285642</v>
      </c>
      <c r="L41" s="329">
        <f ca="1">+L39*L40</f>
        <v>45.633988783267284</v>
      </c>
      <c r="M41" s="117"/>
      <c r="N41" s="117" t="s">
        <v>362</v>
      </c>
    </row>
    <row r="42" spans="1:14" ht="12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</row>
    <row r="43" spans="1:14" ht="12.75" customHeight="1" x14ac:dyDescent="0.25">
      <c r="A43" s="117" t="s">
        <v>23</v>
      </c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</row>
    <row r="44" spans="1:14" ht="12.75" customHeight="1" x14ac:dyDescent="0.25">
      <c r="A44" s="126" t="s">
        <v>107</v>
      </c>
      <c r="B44" s="126"/>
      <c r="C44" s="126"/>
      <c r="D44" s="126"/>
      <c r="E44" s="134">
        <f t="shared" ref="E44:L44" si="4">+E40/E31</f>
        <v>5.6115421312454013E-2</v>
      </c>
      <c r="F44" s="134">
        <f t="shared" si="4"/>
        <v>5.6295938384229353E-2</v>
      </c>
      <c r="G44" s="134">
        <f t="shared" si="4"/>
        <v>4.9113152103428495E-2</v>
      </c>
      <c r="H44" s="134">
        <f t="shared" ca="1" si="4"/>
        <v>4.2877445633929666E-2</v>
      </c>
      <c r="I44" s="134">
        <f t="shared" ca="1" si="4"/>
        <v>4.0006838732851858E-2</v>
      </c>
      <c r="J44" s="134">
        <f t="shared" ca="1" si="4"/>
        <v>3.6567055243911108E-2</v>
      </c>
      <c r="K44" s="134">
        <f t="shared" ca="1" si="4"/>
        <v>3.4439488105141865E-2</v>
      </c>
      <c r="L44" s="134">
        <f t="shared" ca="1" si="4"/>
        <v>3.278942245305555E-2</v>
      </c>
      <c r="M44" s="117"/>
      <c r="N44" s="117" t="s">
        <v>108</v>
      </c>
    </row>
    <row r="45" spans="1:14" ht="12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</row>
    <row r="46" spans="1:14" ht="12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</row>
    <row r="47" spans="1:14" ht="12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</row>
    <row r="48" spans="1:14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4"/>
  <sheetViews>
    <sheetView showGridLines="0" zoomScale="85" zoomScaleNormal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375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21" t="s">
        <v>2</v>
      </c>
      <c r="M1" s="117"/>
      <c r="N1" s="117"/>
    </row>
    <row r="2" spans="1:14" ht="15.95" customHeight="1" thickBot="1" x14ac:dyDescent="0.3">
      <c r="A2" s="4" t="s">
        <v>109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22" t="s">
        <v>215</v>
      </c>
      <c r="M2" s="117"/>
      <c r="N2" s="117"/>
    </row>
    <row r="3" spans="1:14" ht="12.7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1:14" ht="12.75" customHeight="1" x14ac:dyDescent="0.25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</row>
    <row r="5" spans="1:14" ht="12.75" customHeight="1" x14ac:dyDescent="0.25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</row>
    <row r="6" spans="1:14" ht="12.75" customHeight="1" x14ac:dyDescent="0.25">
      <c r="A6" s="117"/>
      <c r="B6" s="117"/>
      <c r="C6" s="117"/>
      <c r="D6" s="117"/>
      <c r="E6" s="172" t="s">
        <v>229</v>
      </c>
      <c r="F6" s="172"/>
      <c r="G6" s="172"/>
      <c r="H6" s="172"/>
      <c r="I6" s="173"/>
      <c r="J6" s="173"/>
      <c r="K6" s="173"/>
      <c r="L6" s="173"/>
      <c r="M6" s="26"/>
      <c r="N6" s="26"/>
    </row>
    <row r="7" spans="1:14" ht="12.75" customHeight="1" x14ac:dyDescent="0.25">
      <c r="A7" s="117"/>
      <c r="B7" s="117"/>
      <c r="C7" s="117"/>
      <c r="D7" s="117"/>
      <c r="E7" s="361" t="s">
        <v>332</v>
      </c>
      <c r="F7" s="361" t="s">
        <v>354</v>
      </c>
      <c r="G7" s="361" t="s">
        <v>397</v>
      </c>
      <c r="H7" s="361" t="s">
        <v>4</v>
      </c>
      <c r="I7" s="361" t="s">
        <v>5</v>
      </c>
      <c r="J7" s="361" t="s">
        <v>333</v>
      </c>
      <c r="K7" s="361" t="s">
        <v>355</v>
      </c>
      <c r="L7" s="361" t="s">
        <v>398</v>
      </c>
      <c r="M7" s="26"/>
      <c r="N7" s="27" t="s">
        <v>6</v>
      </c>
    </row>
    <row r="8" spans="1:14" ht="12.75" customHeight="1" x14ac:dyDescent="0.25">
      <c r="A8" s="7" t="s">
        <v>216</v>
      </c>
      <c r="B8" s="117"/>
      <c r="C8" s="117"/>
      <c r="D8" s="117"/>
      <c r="E8" s="121"/>
      <c r="F8" s="121"/>
      <c r="G8" s="121"/>
      <c r="H8" s="117"/>
      <c r="I8" s="117"/>
      <c r="J8" s="117"/>
      <c r="K8" s="117"/>
      <c r="L8" s="117"/>
      <c r="M8" s="26"/>
      <c r="N8" s="26"/>
    </row>
    <row r="9" spans="1:14" ht="3" customHeight="1" x14ac:dyDescent="0.25">
      <c r="A9" s="117"/>
      <c r="B9" s="117"/>
      <c r="C9" s="117"/>
      <c r="D9" s="117"/>
      <c r="E9" s="121"/>
      <c r="F9" s="121"/>
      <c r="G9" s="121"/>
      <c r="H9" s="117"/>
      <c r="I9" s="117"/>
      <c r="J9" s="117"/>
      <c r="K9" s="117"/>
      <c r="L9" s="117"/>
      <c r="M9" s="117"/>
      <c r="N9" s="117"/>
    </row>
    <row r="10" spans="1:14" ht="12.75" customHeight="1" x14ac:dyDescent="0.25">
      <c r="A10" s="166" t="s">
        <v>302</v>
      </c>
      <c r="B10" s="117"/>
      <c r="C10" s="117"/>
      <c r="D10" s="117"/>
      <c r="E10" s="117"/>
      <c r="F10" s="117"/>
      <c r="G10" s="117"/>
      <c r="H10" s="16">
        <f>+G35</f>
        <v>0</v>
      </c>
      <c r="I10" s="16">
        <f t="shared" ref="I10:L11" ca="1" si="0">+H35</f>
        <v>0</v>
      </c>
      <c r="J10" s="16">
        <f t="shared" ca="1" si="0"/>
        <v>0</v>
      </c>
      <c r="K10" s="16">
        <f t="shared" ca="1" si="0"/>
        <v>98.471756589432914</v>
      </c>
      <c r="L10" s="16">
        <f t="shared" ca="1" si="0"/>
        <v>72.354861285466114</v>
      </c>
      <c r="M10" s="117"/>
      <c r="N10" s="117" t="s">
        <v>226</v>
      </c>
    </row>
    <row r="11" spans="1:14" ht="12.75" customHeight="1" x14ac:dyDescent="0.25">
      <c r="A11" s="166" t="s">
        <v>303</v>
      </c>
      <c r="B11" s="117"/>
      <c r="C11" s="117"/>
      <c r="D11" s="117"/>
      <c r="E11" s="117"/>
      <c r="F11" s="117"/>
      <c r="G11" s="124"/>
      <c r="H11" s="17">
        <f>+G36</f>
        <v>763.94200000000001</v>
      </c>
      <c r="I11" s="17">
        <f t="shared" si="0"/>
        <v>743.94200000000001</v>
      </c>
      <c r="J11" s="17">
        <f t="shared" si="0"/>
        <v>723.94200000000001</v>
      </c>
      <c r="K11" s="17">
        <f t="shared" si="0"/>
        <v>523.94200000000001</v>
      </c>
      <c r="L11" s="17">
        <f t="shared" si="0"/>
        <v>503.94200000000001</v>
      </c>
      <c r="M11" s="117"/>
      <c r="N11" s="117" t="s">
        <v>226</v>
      </c>
    </row>
    <row r="12" spans="1:14" ht="12.75" customHeight="1" x14ac:dyDescent="0.25">
      <c r="A12" s="125" t="s">
        <v>363</v>
      </c>
      <c r="B12" s="126"/>
      <c r="C12" s="126"/>
      <c r="D12" s="126"/>
      <c r="E12" s="126"/>
      <c r="F12" s="126"/>
      <c r="G12" s="168"/>
      <c r="H12" s="127">
        <f>SUM(H10:H11)</f>
        <v>763.94200000000001</v>
      </c>
      <c r="I12" s="127">
        <f ca="1">SUM(I10:I11)</f>
        <v>743.94200000000001</v>
      </c>
      <c r="J12" s="127">
        <f ca="1">SUM(J10:J11)</f>
        <v>723.94200000000001</v>
      </c>
      <c r="K12" s="127">
        <f ca="1">SUM(K10:K11)</f>
        <v>622.41375658943298</v>
      </c>
      <c r="L12" s="127">
        <f ca="1">SUM(L10:L11)</f>
        <v>576.29686128546609</v>
      </c>
      <c r="M12" s="117"/>
      <c r="N12" s="117"/>
    </row>
    <row r="13" spans="1:14" ht="12.75" customHeight="1" x14ac:dyDescent="0.25">
      <c r="A13" s="117"/>
      <c r="B13" s="117"/>
      <c r="C13" s="117"/>
      <c r="D13" s="117"/>
      <c r="E13" s="117"/>
      <c r="F13" s="117"/>
      <c r="G13" s="117"/>
      <c r="H13" s="122"/>
      <c r="I13" s="117"/>
      <c r="J13" s="117"/>
      <c r="K13" s="117"/>
      <c r="L13" s="117"/>
      <c r="M13" s="117"/>
      <c r="N13" s="117"/>
    </row>
    <row r="14" spans="1:14" ht="12.75" customHeight="1" x14ac:dyDescent="0.25">
      <c r="A14" s="7" t="s">
        <v>217</v>
      </c>
      <c r="B14" s="117"/>
      <c r="C14" s="117"/>
      <c r="D14" s="117"/>
      <c r="E14" s="121"/>
      <c r="F14" s="121"/>
      <c r="G14" s="121"/>
      <c r="H14" s="117"/>
      <c r="I14" s="117"/>
      <c r="J14" s="117"/>
      <c r="K14" s="117"/>
      <c r="L14" s="117"/>
      <c r="M14" s="26"/>
      <c r="N14" s="26"/>
    </row>
    <row r="15" spans="1:14" ht="3" customHeight="1" x14ac:dyDescent="0.25">
      <c r="A15" s="117"/>
      <c r="B15" s="117"/>
      <c r="C15" s="117"/>
      <c r="D15" s="117"/>
      <c r="E15" s="121"/>
      <c r="F15" s="121"/>
      <c r="G15" s="121"/>
      <c r="H15" s="117"/>
      <c r="I15" s="117"/>
      <c r="J15" s="117"/>
      <c r="K15" s="117"/>
      <c r="L15" s="117"/>
      <c r="M15" s="117"/>
      <c r="N15" s="117"/>
    </row>
    <row r="16" spans="1:14" ht="12.75" customHeight="1" x14ac:dyDescent="0.25">
      <c r="A16" s="117" t="s">
        <v>115</v>
      </c>
      <c r="B16" s="117"/>
      <c r="C16" s="117"/>
      <c r="D16" s="117"/>
      <c r="E16" s="117"/>
      <c r="F16" s="117"/>
      <c r="G16" s="117"/>
      <c r="H16" s="307">
        <f>+'Balance Sheet'!G10</f>
        <v>161.84702225600537</v>
      </c>
      <c r="I16" s="307">
        <f ca="1">+'Balance Sheet'!H10</f>
        <v>156.43895685275456</v>
      </c>
      <c r="J16" s="307">
        <f ca="1">+'Balance Sheet'!I10</f>
        <v>75.237358714666726</v>
      </c>
      <c r="K16" s="307">
        <f ca="1">+'Balance Sheet'!J10</f>
        <v>24.999999999999972</v>
      </c>
      <c r="L16" s="307">
        <f ca="1">+'Balance Sheet'!K10</f>
        <v>24.999999999996675</v>
      </c>
      <c r="M16" s="117"/>
      <c r="N16" s="117" t="s">
        <v>68</v>
      </c>
    </row>
    <row r="17" spans="1:14" ht="12.75" customHeight="1" x14ac:dyDescent="0.25">
      <c r="A17" s="117" t="s">
        <v>56</v>
      </c>
      <c r="B17" s="117"/>
      <c r="C17" s="117"/>
      <c r="D17" s="117"/>
      <c r="E17" s="117"/>
      <c r="F17" s="117"/>
      <c r="G17" s="117"/>
      <c r="H17" s="315">
        <f ca="1">+'Cash Flow Statement'!H13</f>
        <v>257.10772818573571</v>
      </c>
      <c r="I17" s="315">
        <f ca="1">+'Cash Flow Statement'!I13</f>
        <v>272.03609516208201</v>
      </c>
      <c r="J17" s="315">
        <f ca="1">+'Cash Flow Statement'!J13</f>
        <v>295.43967932501681</v>
      </c>
      <c r="K17" s="315">
        <f ca="1">+'Cash Flow Statement'!K13</f>
        <v>323.2079136270749</v>
      </c>
      <c r="L17" s="315">
        <f ca="1">+'Cash Flow Statement'!L13</f>
        <v>353.77487714576688</v>
      </c>
      <c r="M17" s="117"/>
      <c r="N17" s="117" t="s">
        <v>116</v>
      </c>
    </row>
    <row r="18" spans="1:14" ht="12.75" customHeight="1" x14ac:dyDescent="0.25">
      <c r="A18" s="117" t="s">
        <v>58</v>
      </c>
      <c r="B18" s="117"/>
      <c r="C18" s="117"/>
      <c r="D18" s="117"/>
      <c r="E18" s="117"/>
      <c r="F18" s="117"/>
      <c r="G18" s="117"/>
      <c r="H18" s="315">
        <f>+'Cash Flow Statement'!H16</f>
        <v>-167.84227625</v>
      </c>
      <c r="I18" s="315">
        <f>+'Cash Flow Statement'!I16</f>
        <v>-258.78227319999996</v>
      </c>
      <c r="J18" s="315">
        <f>+'Cash Flow Statement'!J16</f>
        <v>-169.82586678749999</v>
      </c>
      <c r="K18" s="315">
        <f>+'Cash Flow Statement'!K16</f>
        <v>-202.13523794382183</v>
      </c>
      <c r="L18" s="315">
        <f>+'Cash Flow Statement'!L16</f>
        <v>-217.2514383465772</v>
      </c>
      <c r="M18" s="117"/>
      <c r="N18" s="117" t="s">
        <v>116</v>
      </c>
    </row>
    <row r="19" spans="1:14" ht="12.75" customHeight="1" x14ac:dyDescent="0.25">
      <c r="A19" s="144" t="s">
        <v>59</v>
      </c>
      <c r="B19" s="117"/>
      <c r="C19" s="117"/>
      <c r="D19" s="117"/>
      <c r="E19" s="117"/>
      <c r="F19" s="117"/>
      <c r="G19" s="117"/>
      <c r="H19" s="315">
        <f ca="1">-Equity!H41</f>
        <v>-44.673517338986493</v>
      </c>
      <c r="I19" s="315">
        <f ca="1">-Equity!I41</f>
        <v>-44.455420100169889</v>
      </c>
      <c r="J19" s="315">
        <f ca="1">-Equity!J41</f>
        <v>-44.322927841616504</v>
      </c>
      <c r="K19" s="315">
        <f ca="1">-Equity!K41</f>
        <v>-44.955780379285606</v>
      </c>
      <c r="L19" s="315">
        <f ca="1">-Equity!L41</f>
        <v>-45.633988783266936</v>
      </c>
      <c r="M19" s="117"/>
      <c r="N19" s="117" t="s">
        <v>116</v>
      </c>
    </row>
    <row r="20" spans="1:14" ht="12.75" customHeight="1" x14ac:dyDescent="0.25">
      <c r="A20" s="144" t="s">
        <v>60</v>
      </c>
      <c r="B20" s="117"/>
      <c r="C20" s="117"/>
      <c r="D20" s="117"/>
      <c r="E20" s="117"/>
      <c r="F20" s="117"/>
      <c r="G20" s="117"/>
      <c r="H20" s="315">
        <f>-Equity!H32</f>
        <v>-30</v>
      </c>
      <c r="I20" s="315">
        <f>-Equity!I32</f>
        <v>-30</v>
      </c>
      <c r="J20" s="315">
        <f>-Equity!J32</f>
        <v>-30</v>
      </c>
      <c r="K20" s="315">
        <f>-Equity!K32</f>
        <v>-30</v>
      </c>
      <c r="L20" s="315">
        <f>-Equity!L32</f>
        <v>-30</v>
      </c>
      <c r="M20" s="117"/>
      <c r="N20" s="117" t="s">
        <v>116</v>
      </c>
    </row>
    <row r="21" spans="1:14" ht="12.75" customHeight="1" x14ac:dyDescent="0.25">
      <c r="A21" s="117" t="s">
        <v>345</v>
      </c>
      <c r="B21" s="117"/>
      <c r="C21" s="117"/>
      <c r="D21" s="117"/>
      <c r="E21" s="117"/>
      <c r="F21" s="117"/>
      <c r="G21" s="117"/>
      <c r="H21" s="308">
        <v>-20</v>
      </c>
      <c r="I21" s="308">
        <v>-20</v>
      </c>
      <c r="J21" s="308">
        <v>-200</v>
      </c>
      <c r="K21" s="308">
        <v>-20</v>
      </c>
      <c r="L21" s="308">
        <v>-20</v>
      </c>
      <c r="M21" s="117"/>
      <c r="N21" s="117"/>
    </row>
    <row r="22" spans="1:14" ht="12.75" customHeight="1" x14ac:dyDescent="0.25">
      <c r="A22" s="117" t="s">
        <v>117</v>
      </c>
      <c r="B22" s="117"/>
      <c r="C22" s="117"/>
      <c r="D22" s="117"/>
      <c r="E22" s="117"/>
      <c r="F22" s="117"/>
      <c r="G22" s="117"/>
      <c r="H22" s="14">
        <v>-25</v>
      </c>
      <c r="I22" s="14">
        <v>-25</v>
      </c>
      <c r="J22" s="14">
        <v>-25</v>
      </c>
      <c r="K22" s="14">
        <v>-25</v>
      </c>
      <c r="L22" s="14">
        <v>-25</v>
      </c>
      <c r="M22" s="117"/>
      <c r="N22" s="117"/>
    </row>
    <row r="23" spans="1:14" ht="12.75" customHeight="1" x14ac:dyDescent="0.25">
      <c r="A23" s="125" t="s">
        <v>118</v>
      </c>
      <c r="B23" s="126"/>
      <c r="C23" s="126"/>
      <c r="D23" s="126"/>
      <c r="E23" s="126"/>
      <c r="F23" s="126"/>
      <c r="G23" s="126"/>
      <c r="H23" s="127">
        <f ca="1">SUM(H16:H22)</f>
        <v>131.43895685275461</v>
      </c>
      <c r="I23" s="127">
        <f ca="1">SUM(I16:I22)</f>
        <v>50.23735871466674</v>
      </c>
      <c r="J23" s="127">
        <f ca="1">SUM(J16:J22)</f>
        <v>-98.471756589432914</v>
      </c>
      <c r="K23" s="127">
        <f ca="1">SUM(K16:K22)</f>
        <v>26.116895303967397</v>
      </c>
      <c r="L23" s="127">
        <f ca="1">SUM(L16:L22)</f>
        <v>40.88945001591938</v>
      </c>
      <c r="M23" s="117"/>
      <c r="N23" s="117"/>
    </row>
    <row r="24" spans="1:14" ht="12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</row>
    <row r="25" spans="1:14" ht="12.75" customHeight="1" x14ac:dyDescent="0.25">
      <c r="A25" s="117" t="s">
        <v>223</v>
      </c>
      <c r="B25" s="117"/>
      <c r="C25" s="117"/>
      <c r="D25" s="117"/>
      <c r="E25" s="117"/>
      <c r="F25" s="117"/>
      <c r="G25" s="117"/>
      <c r="H25" s="122">
        <f ca="1">IF(H23&lt;0,-H23,0)</f>
        <v>0</v>
      </c>
      <c r="I25" s="122">
        <f ca="1">IF(I23&lt;0,-I23,0)</f>
        <v>0</v>
      </c>
      <c r="J25" s="122">
        <f ca="1">IF(J23&lt;0,-J23,0)</f>
        <v>98.471756589432914</v>
      </c>
      <c r="K25" s="122">
        <f ca="1">IF(K23&lt;0,-K23,0)</f>
        <v>0</v>
      </c>
      <c r="L25" s="122">
        <f ca="1">IF(L23&lt;0,-L23,0)</f>
        <v>0</v>
      </c>
      <c r="M25" s="117"/>
      <c r="N25" s="141" t="s">
        <v>290</v>
      </c>
    </row>
    <row r="26" spans="1:14" ht="12.75" customHeight="1" x14ac:dyDescent="0.25">
      <c r="A26" s="117" t="s">
        <v>349</v>
      </c>
      <c r="B26" s="117"/>
      <c r="C26" s="117"/>
      <c r="D26" s="117"/>
      <c r="E26" s="117"/>
      <c r="F26" s="117"/>
      <c r="G26" s="117"/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117"/>
      <c r="N26" s="141"/>
    </row>
    <row r="27" spans="1:14" ht="12.75" customHeight="1" x14ac:dyDescent="0.25">
      <c r="A27" s="125" t="s">
        <v>119</v>
      </c>
      <c r="B27" s="126"/>
      <c r="C27" s="126"/>
      <c r="D27" s="126"/>
      <c r="E27" s="126"/>
      <c r="F27" s="126"/>
      <c r="G27" s="126"/>
      <c r="H27" s="127">
        <f ca="1">SUM(H25:H26,H23)</f>
        <v>131.43895685275461</v>
      </c>
      <c r="I27" s="127">
        <f ca="1">SUM(I25:I26,I23)</f>
        <v>50.23735871466674</v>
      </c>
      <c r="J27" s="127">
        <f ca="1">SUM(J25:J26,J23)</f>
        <v>0</v>
      </c>
      <c r="K27" s="127">
        <f ca="1">SUM(K25:K26,K23)</f>
        <v>26.116895303967397</v>
      </c>
      <c r="L27" s="127">
        <f ca="1">SUM(L25:L26,L23)</f>
        <v>40.88945001591938</v>
      </c>
      <c r="M27" s="117"/>
      <c r="N27" s="117"/>
    </row>
    <row r="28" spans="1:14" ht="12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</row>
    <row r="29" spans="1:14" ht="12.75" customHeight="1" x14ac:dyDescent="0.25">
      <c r="A29" s="166" t="s">
        <v>304</v>
      </c>
      <c r="B29" s="117"/>
      <c r="C29" s="117"/>
      <c r="D29" s="117"/>
      <c r="E29" s="117"/>
      <c r="F29" s="117"/>
      <c r="G29" s="117"/>
      <c r="H29" s="287">
        <f ca="1">-IF(H27&gt;0,MIN(H10,H27),0)</f>
        <v>0</v>
      </c>
      <c r="I29" s="122">
        <f ca="1">-IF(I27&gt;0,MIN(I10,I27),0)</f>
        <v>0</v>
      </c>
      <c r="J29" s="122">
        <f ca="1">-IF(J27&gt;0,MIN(J10,J27),0)</f>
        <v>0</v>
      </c>
      <c r="K29" s="122">
        <f ca="1">-IF(K27&gt;0,MIN(K10,K27),0)</f>
        <v>-26.116895303967397</v>
      </c>
      <c r="L29" s="122">
        <f ca="1">-IF(L27&gt;0,MIN(L10,L27),0)</f>
        <v>-40.88945001591938</v>
      </c>
      <c r="M29" s="117"/>
      <c r="N29" s="141" t="s">
        <v>353</v>
      </c>
    </row>
    <row r="30" spans="1:14" ht="12.75" customHeight="1" x14ac:dyDescent="0.25">
      <c r="A30" s="166" t="s">
        <v>305</v>
      </c>
      <c r="B30" s="117"/>
      <c r="C30" s="117"/>
      <c r="D30" s="117"/>
      <c r="E30" s="117"/>
      <c r="F30" s="117"/>
      <c r="G30" s="117"/>
      <c r="H30" s="265">
        <f>+H21</f>
        <v>-20</v>
      </c>
      <c r="I30" s="265">
        <f>+I21</f>
        <v>-20</v>
      </c>
      <c r="J30" s="265">
        <f>+J21</f>
        <v>-200</v>
      </c>
      <c r="K30" s="265">
        <f>+K21</f>
        <v>-20</v>
      </c>
      <c r="L30" s="265">
        <f>+L21</f>
        <v>-20</v>
      </c>
      <c r="M30" s="117"/>
      <c r="N30" s="117" t="s">
        <v>316</v>
      </c>
    </row>
    <row r="31" spans="1:14" ht="12.75" customHeight="1" x14ac:dyDescent="0.25">
      <c r="A31" s="125" t="s">
        <v>120</v>
      </c>
      <c r="B31" s="126"/>
      <c r="C31" s="126"/>
      <c r="D31" s="126"/>
      <c r="E31" s="126"/>
      <c r="F31" s="126"/>
      <c r="G31" s="126"/>
      <c r="H31" s="127">
        <f ca="1">SUM(H29:H30)</f>
        <v>-20</v>
      </c>
      <c r="I31" s="127">
        <f ca="1">SUM(I29:I30)</f>
        <v>-20</v>
      </c>
      <c r="J31" s="127">
        <f ca="1">SUM(J29:J30)</f>
        <v>-200</v>
      </c>
      <c r="K31" s="127">
        <f ca="1">SUM(K29:K30)</f>
        <v>-46.116895303967397</v>
      </c>
      <c r="L31" s="127">
        <f ca="1">SUM(L29:L30)</f>
        <v>-60.88945001591938</v>
      </c>
      <c r="M31" s="117"/>
      <c r="N31" s="117"/>
    </row>
    <row r="32" spans="1:14" ht="12.75" customHeight="1" x14ac:dyDescent="0.25">
      <c r="A32" s="132"/>
      <c r="B32" s="118"/>
      <c r="C32" s="118"/>
      <c r="D32" s="118"/>
      <c r="E32" s="118"/>
      <c r="F32" s="118"/>
      <c r="G32" s="118"/>
      <c r="H32" s="133"/>
      <c r="I32" s="133"/>
      <c r="J32" s="133"/>
      <c r="K32" s="133"/>
      <c r="L32" s="133"/>
      <c r="M32" s="117"/>
      <c r="N32" s="117"/>
    </row>
    <row r="33" spans="1:14" ht="12.75" customHeight="1" x14ac:dyDescent="0.25">
      <c r="A33" s="7" t="s">
        <v>218</v>
      </c>
      <c r="B33" s="117"/>
      <c r="C33" s="117"/>
      <c r="D33" s="117"/>
      <c r="E33" s="121"/>
      <c r="F33" s="121"/>
      <c r="G33" s="121"/>
      <c r="H33" s="117"/>
      <c r="I33" s="117"/>
      <c r="J33" s="117"/>
      <c r="K33" s="117"/>
      <c r="L33" s="117"/>
      <c r="M33" s="26"/>
      <c r="N33" s="26"/>
    </row>
    <row r="34" spans="1:14" ht="3" customHeight="1" x14ac:dyDescent="0.25">
      <c r="A34" s="117"/>
      <c r="B34" s="117"/>
      <c r="C34" s="117"/>
      <c r="D34" s="117"/>
      <c r="E34" s="121"/>
      <c r="F34" s="121"/>
      <c r="G34" s="121"/>
      <c r="H34" s="117"/>
      <c r="I34" s="117"/>
      <c r="J34" s="117"/>
      <c r="K34" s="117"/>
      <c r="L34" s="117"/>
      <c r="M34" s="117"/>
      <c r="N34" s="117"/>
    </row>
    <row r="35" spans="1:14" ht="12.75" customHeight="1" x14ac:dyDescent="0.25">
      <c r="A35" s="166" t="s">
        <v>306</v>
      </c>
      <c r="B35" s="117"/>
      <c r="C35" s="117"/>
      <c r="D35" s="117"/>
      <c r="E35" s="117"/>
      <c r="F35" s="117"/>
      <c r="G35" s="362">
        <v>0</v>
      </c>
      <c r="H35" s="122">
        <f t="shared" ref="H35:L36" ca="1" si="1">+H29+H10+H25</f>
        <v>0</v>
      </c>
      <c r="I35" s="122">
        <f t="shared" ca="1" si="1"/>
        <v>0</v>
      </c>
      <c r="J35" s="122">
        <f t="shared" ca="1" si="1"/>
        <v>98.471756589432914</v>
      </c>
      <c r="K35" s="122">
        <f t="shared" ca="1" si="1"/>
        <v>72.354861285465518</v>
      </c>
      <c r="L35" s="122">
        <f t="shared" ca="1" si="1"/>
        <v>31.465411269546735</v>
      </c>
      <c r="M35" s="117"/>
      <c r="N35" s="117" t="s">
        <v>351</v>
      </c>
    </row>
    <row r="36" spans="1:14" ht="12.75" customHeight="1" x14ac:dyDescent="0.25">
      <c r="A36" s="166" t="s">
        <v>307</v>
      </c>
      <c r="B36" s="117"/>
      <c r="C36" s="117"/>
      <c r="D36" s="117"/>
      <c r="E36" s="117"/>
      <c r="F36" s="117"/>
      <c r="G36" s="5">
        <v>763.94200000000001</v>
      </c>
      <c r="H36" s="124">
        <f t="shared" si="1"/>
        <v>743.94200000000001</v>
      </c>
      <c r="I36" s="124">
        <f t="shared" si="1"/>
        <v>723.94200000000001</v>
      </c>
      <c r="J36" s="124">
        <f t="shared" si="1"/>
        <v>523.94200000000001</v>
      </c>
      <c r="K36" s="124">
        <f t="shared" si="1"/>
        <v>503.94200000000001</v>
      </c>
      <c r="L36" s="124">
        <f t="shared" si="1"/>
        <v>483.94200000000001</v>
      </c>
      <c r="M36" s="117"/>
      <c r="N36" s="117" t="s">
        <v>350</v>
      </c>
    </row>
    <row r="37" spans="1:14" ht="12.75" customHeight="1" x14ac:dyDescent="0.25">
      <c r="A37" s="125" t="s">
        <v>364</v>
      </c>
      <c r="B37" s="126"/>
      <c r="C37" s="126"/>
      <c r="D37" s="126"/>
      <c r="E37" s="126"/>
      <c r="F37" s="126"/>
      <c r="G37" s="316">
        <f t="shared" ref="G37:L37" si="2">SUM(G35:G36)</f>
        <v>763.94200000000001</v>
      </c>
      <c r="H37" s="127">
        <f t="shared" ca="1" si="2"/>
        <v>743.94200000000001</v>
      </c>
      <c r="I37" s="127">
        <f t="shared" ca="1" si="2"/>
        <v>723.94200000000001</v>
      </c>
      <c r="J37" s="127">
        <f t="shared" ca="1" si="2"/>
        <v>622.41375658943298</v>
      </c>
      <c r="K37" s="127">
        <f t="shared" ca="1" si="2"/>
        <v>576.29686128546552</v>
      </c>
      <c r="L37" s="127">
        <f t="shared" ca="1" si="2"/>
        <v>515.40741126954674</v>
      </c>
      <c r="M37" s="117"/>
      <c r="N37" s="117"/>
    </row>
    <row r="38" spans="1:14" ht="12.75" customHeight="1" x14ac:dyDescent="0.25">
      <c r="A38" s="132"/>
      <c r="B38" s="118"/>
      <c r="C38" s="118"/>
      <c r="D38" s="118"/>
      <c r="E38" s="118"/>
      <c r="F38" s="118"/>
      <c r="G38" s="118"/>
      <c r="H38" s="133"/>
      <c r="I38" s="133"/>
      <c r="J38" s="133"/>
      <c r="K38" s="133"/>
      <c r="L38" s="133"/>
      <c r="M38" s="117"/>
      <c r="N38" s="117"/>
    </row>
    <row r="39" spans="1:14" ht="12.75" customHeight="1" x14ac:dyDescent="0.25">
      <c r="A39" s="117" t="s">
        <v>23</v>
      </c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</row>
    <row r="40" spans="1:14" ht="12.75" customHeight="1" x14ac:dyDescent="0.25">
      <c r="A40" s="126" t="s">
        <v>222</v>
      </c>
      <c r="B40" s="126"/>
      <c r="C40" s="126"/>
      <c r="D40" s="126"/>
      <c r="E40" s="126"/>
      <c r="F40" s="126"/>
      <c r="G40" s="126"/>
      <c r="H40" s="127">
        <f ca="1">H25+H29</f>
        <v>0</v>
      </c>
      <c r="I40" s="127">
        <f t="shared" ref="I40:L41" ca="1" si="3">I25+I29</f>
        <v>0</v>
      </c>
      <c r="J40" s="127">
        <f t="shared" ca="1" si="3"/>
        <v>98.471756589432914</v>
      </c>
      <c r="K40" s="127">
        <f t="shared" ca="1" si="3"/>
        <v>-26.116895303967397</v>
      </c>
      <c r="L40" s="127">
        <f t="shared" ca="1" si="3"/>
        <v>-40.88945001591938</v>
      </c>
      <c r="M40" s="117"/>
      <c r="N40" s="117" t="s">
        <v>338</v>
      </c>
    </row>
    <row r="41" spans="1:14" ht="12.75" customHeight="1" x14ac:dyDescent="0.25">
      <c r="A41" s="118" t="s">
        <v>346</v>
      </c>
      <c r="B41" s="118"/>
      <c r="C41" s="118"/>
      <c r="D41" s="118"/>
      <c r="E41" s="118"/>
      <c r="F41" s="118"/>
      <c r="G41" s="118"/>
      <c r="H41" s="130">
        <f>H26+H30</f>
        <v>-20</v>
      </c>
      <c r="I41" s="130">
        <f t="shared" si="3"/>
        <v>-20</v>
      </c>
      <c r="J41" s="130">
        <f t="shared" si="3"/>
        <v>-200</v>
      </c>
      <c r="K41" s="130">
        <f t="shared" si="3"/>
        <v>-20</v>
      </c>
      <c r="L41" s="130">
        <f t="shared" si="3"/>
        <v>-20</v>
      </c>
      <c r="M41" s="117"/>
      <c r="N41" s="117" t="s">
        <v>352</v>
      </c>
    </row>
    <row r="42" spans="1:14" ht="12.75" customHeight="1" x14ac:dyDescent="0.25">
      <c r="A42" s="118" t="s">
        <v>66</v>
      </c>
      <c r="B42" s="118"/>
      <c r="C42" s="118"/>
      <c r="D42" s="118"/>
      <c r="E42" s="118"/>
      <c r="F42" s="118"/>
      <c r="G42" s="118"/>
      <c r="H42" s="13">
        <f>+'Cash Flow Statement'!H32</f>
        <v>283.80603074999999</v>
      </c>
      <c r="I42" s="13">
        <f>+'Cash Flow Statement'!I32</f>
        <v>307.30394942499998</v>
      </c>
      <c r="J42" s="13">
        <f>+'Cash Flow Statement'!J32</f>
        <v>334.55695757137499</v>
      </c>
      <c r="K42" s="13">
        <f>+'Cash Flow Statement'!K32</f>
        <v>365.60112602012998</v>
      </c>
      <c r="L42" s="13">
        <f>+'Cash Flow Statement'!L32</f>
        <v>396.48387498250338</v>
      </c>
      <c r="M42" s="117"/>
      <c r="N42" s="118" t="s">
        <v>111</v>
      </c>
    </row>
    <row r="43" spans="1:14" ht="12.75" customHeight="1" x14ac:dyDescent="0.25">
      <c r="A43" s="118" t="s">
        <v>42</v>
      </c>
      <c r="B43" s="118"/>
      <c r="C43" s="118"/>
      <c r="D43" s="118"/>
      <c r="E43" s="118"/>
      <c r="F43" s="118"/>
      <c r="G43" s="118"/>
      <c r="H43" s="13">
        <f ca="1">+'Balance Sheet'!H28</f>
        <v>294.96864090669283</v>
      </c>
      <c r="I43" s="13">
        <f ca="1">+'Balance Sheet'!I28</f>
        <v>321.53099564934126</v>
      </c>
      <c r="J43" s="13">
        <f ca="1">+'Balance Sheet'!J28</f>
        <v>357.39897734730363</v>
      </c>
      <c r="K43" s="13">
        <f ca="1">+'Balance Sheet'!K28</f>
        <v>401.11189241762918</v>
      </c>
      <c r="L43" s="13">
        <f ca="1">+'Balance Sheet'!L28</f>
        <v>451.9987181068949</v>
      </c>
      <c r="M43" s="117"/>
      <c r="N43" s="117" t="s">
        <v>112</v>
      </c>
    </row>
    <row r="44" spans="1:14" ht="12.75" customHeight="1" x14ac:dyDescent="0.25">
      <c r="A44" s="118" t="s">
        <v>113</v>
      </c>
      <c r="B44" s="118"/>
      <c r="C44" s="118"/>
      <c r="D44" s="118"/>
      <c r="E44" s="118"/>
      <c r="F44" s="118"/>
      <c r="G44" s="118"/>
      <c r="H44" s="198">
        <f ca="1">+H37/H42</f>
        <v>2.6213044100367484</v>
      </c>
      <c r="I44" s="198">
        <f ca="1">+I37/I42</f>
        <v>2.3557848877457523</v>
      </c>
      <c r="J44" s="198">
        <f ca="1">+J37/J42</f>
        <v>1.8604119343614192</v>
      </c>
      <c r="K44" s="198">
        <f ca="1">+K37/K42</f>
        <v>1.5762994702968576</v>
      </c>
      <c r="L44" s="198">
        <f ca="1">+L37/L42</f>
        <v>1.2999454550132497</v>
      </c>
      <c r="M44" s="117"/>
      <c r="N44" s="117" t="s">
        <v>365</v>
      </c>
    </row>
    <row r="45" spans="1:14" ht="12.75" customHeight="1" x14ac:dyDescent="0.25">
      <c r="A45" s="117" t="s">
        <v>114</v>
      </c>
      <c r="B45" s="117"/>
      <c r="C45" s="117"/>
      <c r="D45" s="117"/>
      <c r="E45" s="117"/>
      <c r="F45" s="117"/>
      <c r="G45" s="117"/>
      <c r="H45" s="343">
        <f ca="1">+H37/H43</f>
        <v>2.5221053930113557</v>
      </c>
      <c r="I45" s="343">
        <f ca="1">+I37/I43</f>
        <v>2.2515465376455479</v>
      </c>
      <c r="J45" s="343">
        <f ca="1">+J37/J43</f>
        <v>1.741509618211919</v>
      </c>
      <c r="K45" s="343">
        <f ca="1">+K37/K43</f>
        <v>1.4367483791416422</v>
      </c>
      <c r="L45" s="343">
        <f ca="1">+L37/L43</f>
        <v>1.1402851172415407</v>
      </c>
      <c r="M45" s="117"/>
      <c r="N45" s="117" t="s">
        <v>366</v>
      </c>
    </row>
    <row r="46" spans="1:14" s="15" customFormat="1" ht="12.75" customHeight="1" x14ac:dyDescent="0.25">
      <c r="M46" s="118"/>
    </row>
    <row r="47" spans="1:14" ht="12.75" customHeight="1" x14ac:dyDescent="0.25">
      <c r="M47" s="117"/>
    </row>
    <row r="48" spans="1:14" ht="12.75" customHeight="1" x14ac:dyDescent="0.25"/>
    <row r="49" spans="1:12" ht="12.75" customHeight="1" x14ac:dyDescent="0.25"/>
    <row r="50" spans="1:12" ht="12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</row>
    <row r="51" spans="1:12" ht="12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</row>
    <row r="52" spans="1:12" ht="12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</row>
    <row r="53" spans="1:12" ht="12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</row>
    <row r="54" spans="1:12" ht="12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</row>
    <row r="55" spans="1:12" ht="12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</row>
    <row r="56" spans="1:12" ht="12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</row>
    <row r="57" spans="1:12" ht="12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</row>
    <row r="58" spans="1:12" ht="12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</row>
    <row r="59" spans="1:12" ht="12.75" customHeight="1" x14ac:dyDescent="0.25"/>
    <row r="60" spans="1:12" ht="12.75" customHeight="1" x14ac:dyDescent="0.25"/>
    <row r="61" spans="1:12" ht="12.75" customHeight="1" x14ac:dyDescent="0.25"/>
    <row r="62" spans="1:12" ht="12.75" customHeight="1" x14ac:dyDescent="0.25"/>
    <row r="63" spans="1:12" ht="12.75" customHeight="1" x14ac:dyDescent="0.25"/>
    <row r="64" spans="1:12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5"/>
  <sheetViews>
    <sheetView showGridLines="0" zoomScale="85" zoomScaleNormal="85" zoomScaleSheetLayoutView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375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21" t="s">
        <v>2</v>
      </c>
      <c r="M1" s="117"/>
      <c r="N1" s="117"/>
    </row>
    <row r="2" spans="1:14" ht="15.95" customHeight="1" thickBot="1" x14ac:dyDescent="0.3">
      <c r="A2" s="4" t="s">
        <v>422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22" t="s">
        <v>215</v>
      </c>
      <c r="M2" s="117"/>
      <c r="N2" s="117"/>
    </row>
    <row r="3" spans="1:14" ht="12.7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1:14" ht="12.75" customHeight="1" x14ac:dyDescent="0.25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</row>
    <row r="5" spans="1:14" ht="12.75" customHeight="1" x14ac:dyDescent="0.25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</row>
    <row r="6" spans="1:14" ht="12.75" customHeight="1" x14ac:dyDescent="0.25">
      <c r="A6" s="117"/>
      <c r="B6" s="117"/>
      <c r="C6" s="117"/>
      <c r="D6" s="117"/>
      <c r="E6" s="172" t="s">
        <v>229</v>
      </c>
      <c r="F6" s="172"/>
      <c r="G6" s="172"/>
      <c r="H6" s="172"/>
      <c r="I6" s="173"/>
      <c r="J6" s="173"/>
      <c r="K6" s="173"/>
      <c r="L6" s="173"/>
      <c r="M6" s="26"/>
      <c r="N6" s="26"/>
    </row>
    <row r="7" spans="1:14" ht="12.75" customHeight="1" x14ac:dyDescent="0.25">
      <c r="A7" s="117"/>
      <c r="B7" s="117"/>
      <c r="C7" s="117"/>
      <c r="D7" s="117"/>
      <c r="E7" s="361" t="s">
        <v>332</v>
      </c>
      <c r="F7" s="361" t="s">
        <v>354</v>
      </c>
      <c r="G7" s="361" t="s">
        <v>397</v>
      </c>
      <c r="H7" s="361" t="s">
        <v>4</v>
      </c>
      <c r="I7" s="361" t="s">
        <v>5</v>
      </c>
      <c r="J7" s="361" t="s">
        <v>333</v>
      </c>
      <c r="K7" s="361" t="s">
        <v>355</v>
      </c>
      <c r="L7" s="361" t="s">
        <v>398</v>
      </c>
      <c r="M7" s="26"/>
      <c r="N7" s="27" t="s">
        <v>6</v>
      </c>
    </row>
    <row r="8" spans="1:14" ht="12.75" customHeight="1" x14ac:dyDescent="0.25">
      <c r="A8" s="7" t="s">
        <v>121</v>
      </c>
      <c r="B8" s="117"/>
      <c r="C8" s="117"/>
      <c r="D8" s="117"/>
      <c r="E8" s="121"/>
      <c r="F8" s="121"/>
      <c r="G8" s="121"/>
      <c r="H8" s="117"/>
      <c r="I8" s="117"/>
      <c r="J8" s="117"/>
      <c r="K8" s="117"/>
      <c r="L8" s="117"/>
      <c r="M8" s="26"/>
      <c r="N8" s="26"/>
    </row>
    <row r="9" spans="1:14" ht="3" customHeight="1" x14ac:dyDescent="0.25">
      <c r="A9" s="117"/>
      <c r="B9" s="117"/>
      <c r="C9" s="117"/>
      <c r="D9" s="117"/>
      <c r="E9" s="121"/>
      <c r="F9" s="121"/>
      <c r="G9" s="121"/>
      <c r="H9" s="117"/>
      <c r="I9" s="117"/>
      <c r="J9" s="117"/>
      <c r="K9" s="117"/>
      <c r="L9" s="117"/>
      <c r="M9" s="117"/>
      <c r="N9" s="117"/>
    </row>
    <row r="10" spans="1:14" ht="12.75" customHeight="1" x14ac:dyDescent="0.25">
      <c r="A10" s="166" t="s">
        <v>308</v>
      </c>
      <c r="B10" s="117"/>
      <c r="C10" s="117"/>
      <c r="D10" s="117"/>
      <c r="E10" s="117"/>
      <c r="F10" s="117"/>
      <c r="G10" s="117"/>
      <c r="H10" s="16">
        <f t="shared" ref="H10:L11" ca="1" si="0">AVERAGE(H23,H25)</f>
        <v>0</v>
      </c>
      <c r="I10" s="16">
        <f t="shared" ca="1" si="0"/>
        <v>0</v>
      </c>
      <c r="J10" s="16">
        <f t="shared" ca="1" si="0"/>
        <v>49.235878294716457</v>
      </c>
      <c r="K10" s="16">
        <f t="shared" ca="1" si="0"/>
        <v>85.413308937449514</v>
      </c>
      <c r="L10" s="16">
        <f t="shared" ca="1" si="0"/>
        <v>51.910136277467927</v>
      </c>
      <c r="M10" s="117"/>
      <c r="N10" s="141" t="s">
        <v>340</v>
      </c>
    </row>
    <row r="11" spans="1:14" ht="12.75" customHeight="1" x14ac:dyDescent="0.25">
      <c r="A11" s="166" t="s">
        <v>309</v>
      </c>
      <c r="B11" s="117"/>
      <c r="C11" s="117"/>
      <c r="D11" s="117"/>
      <c r="E11" s="117"/>
      <c r="F11" s="117"/>
      <c r="G11" s="117"/>
      <c r="H11" s="17">
        <f t="shared" si="0"/>
        <v>753.94200000000001</v>
      </c>
      <c r="I11" s="17">
        <f t="shared" si="0"/>
        <v>733.94200000000001</v>
      </c>
      <c r="J11" s="17">
        <f t="shared" si="0"/>
        <v>623.94200000000001</v>
      </c>
      <c r="K11" s="17">
        <f t="shared" si="0"/>
        <v>513.94200000000001</v>
      </c>
      <c r="L11" s="17">
        <f t="shared" si="0"/>
        <v>493.94200000000001</v>
      </c>
      <c r="M11" s="117"/>
      <c r="N11" s="141" t="s">
        <v>341</v>
      </c>
    </row>
    <row r="12" spans="1:14" ht="12.75" customHeight="1" x14ac:dyDescent="0.25">
      <c r="A12" s="125" t="s">
        <v>122</v>
      </c>
      <c r="B12" s="126"/>
      <c r="C12" s="126"/>
      <c r="D12" s="126"/>
      <c r="E12" s="126"/>
      <c r="F12" s="126"/>
      <c r="G12" s="126"/>
      <c r="H12" s="127">
        <f ca="1">SUM(H10:H11)</f>
        <v>753.94200000000001</v>
      </c>
      <c r="I12" s="127">
        <f ca="1">SUM(I10:I11)</f>
        <v>733.94200000000001</v>
      </c>
      <c r="J12" s="127">
        <f ca="1">SUM(J10:J11)</f>
        <v>673.17787829471649</v>
      </c>
      <c r="K12" s="127">
        <f ca="1">SUM(K10:K11)</f>
        <v>599.35530893744954</v>
      </c>
      <c r="L12" s="127">
        <f ca="1">SUM(L10:L11)</f>
        <v>545.85213627746793</v>
      </c>
      <c r="M12" s="117"/>
      <c r="N12" s="141"/>
    </row>
    <row r="13" spans="1:14" ht="12.75" customHeight="1" x14ac:dyDescent="0.25">
      <c r="A13" s="117"/>
      <c r="B13" s="117"/>
      <c r="C13" s="117"/>
      <c r="D13" s="117"/>
      <c r="E13" s="117"/>
      <c r="F13" s="341"/>
      <c r="G13" s="117"/>
      <c r="H13" s="117"/>
      <c r="I13" s="117"/>
      <c r="J13" s="117"/>
      <c r="K13" s="117"/>
      <c r="L13" s="117"/>
      <c r="M13" s="117"/>
      <c r="N13" s="117"/>
    </row>
    <row r="14" spans="1:14" ht="12.75" customHeight="1" x14ac:dyDescent="0.25">
      <c r="A14" s="166" t="s">
        <v>310</v>
      </c>
      <c r="B14" s="117"/>
      <c r="C14" s="117"/>
      <c r="D14" s="117"/>
      <c r="E14" s="117"/>
      <c r="F14" s="117"/>
      <c r="G14" s="117"/>
      <c r="H14" s="330">
        <v>0.03</v>
      </c>
      <c r="I14" s="330">
        <v>0.03</v>
      </c>
      <c r="J14" s="330">
        <v>0.03</v>
      </c>
      <c r="K14" s="330">
        <v>0.03</v>
      </c>
      <c r="L14" s="330">
        <v>0.03</v>
      </c>
      <c r="M14" s="117"/>
      <c r="N14" s="117"/>
    </row>
    <row r="15" spans="1:14" ht="12.75" customHeight="1" x14ac:dyDescent="0.25">
      <c r="A15" s="166" t="s">
        <v>311</v>
      </c>
      <c r="B15" s="117"/>
      <c r="C15" s="117"/>
      <c r="D15" s="117"/>
      <c r="E15" s="117"/>
      <c r="F15" s="117"/>
      <c r="G15" s="117"/>
      <c r="H15" s="330">
        <v>3.5000000000000003E-2</v>
      </c>
      <c r="I15" s="330">
        <v>3.5000000000000003E-2</v>
      </c>
      <c r="J15" s="330">
        <v>3.5000000000000003E-2</v>
      </c>
      <c r="K15" s="330">
        <v>3.5000000000000003E-2</v>
      </c>
      <c r="L15" s="330">
        <v>3.5000000000000003E-2</v>
      </c>
      <c r="M15" s="117"/>
      <c r="N15" s="117"/>
    </row>
    <row r="16" spans="1:14" ht="12.75" customHeight="1" x14ac:dyDescent="0.25">
      <c r="A16" s="125" t="s">
        <v>123</v>
      </c>
      <c r="B16" s="126"/>
      <c r="C16" s="126"/>
      <c r="D16" s="126"/>
      <c r="E16" s="126"/>
      <c r="F16" s="126"/>
      <c r="G16" s="126"/>
      <c r="H16" s="313">
        <f ca="1">H20/H12</f>
        <v>3.5000000000000003E-2</v>
      </c>
      <c r="I16" s="313">
        <f ca="1">IF(ISNUMBER(+I20/I12),+I20/I12,0)</f>
        <v>3.5000000000000003E-2</v>
      </c>
      <c r="J16" s="313">
        <f ca="1">IF(ISNUMBER(+J20/J12),+J20/J12,0)</f>
        <v>3.463430261241323E-2</v>
      </c>
      <c r="K16" s="313">
        <f ca="1">IF(ISNUMBER(+K20/K12),+K20/K12,0)</f>
        <v>3.4287456808475746E-2</v>
      </c>
      <c r="L16" s="313">
        <f ca="1">IF(ISNUMBER(+L20/L12),+L20/L12,0)</f>
        <v>3.4524503681242512E-2</v>
      </c>
      <c r="M16" s="117"/>
      <c r="N16" s="117" t="s">
        <v>124</v>
      </c>
    </row>
    <row r="17" spans="1:14" ht="12.75" customHeight="1" x14ac:dyDescent="0.25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</row>
    <row r="18" spans="1:14" ht="12.75" customHeight="1" x14ac:dyDescent="0.25">
      <c r="A18" s="166" t="s">
        <v>312</v>
      </c>
      <c r="B18" s="117"/>
      <c r="C18" s="117"/>
      <c r="D18" s="117"/>
      <c r="E18" s="117"/>
      <c r="F18" s="117"/>
      <c r="G18" s="117"/>
      <c r="H18" s="122">
        <f t="shared" ref="H18:L19" ca="1" si="1">+H14*H10</f>
        <v>0</v>
      </c>
      <c r="I18" s="122">
        <f t="shared" ca="1" si="1"/>
        <v>0</v>
      </c>
      <c r="J18" s="122">
        <f t="shared" ca="1" si="1"/>
        <v>1.4770763488414937</v>
      </c>
      <c r="K18" s="122">
        <f t="shared" ca="1" si="1"/>
        <v>2.5623992681234853</v>
      </c>
      <c r="L18" s="122">
        <f t="shared" ca="1" si="1"/>
        <v>1.5573040883240377</v>
      </c>
      <c r="M18" s="117"/>
      <c r="N18" s="117" t="s">
        <v>342</v>
      </c>
    </row>
    <row r="19" spans="1:14" ht="12.75" customHeight="1" x14ac:dyDescent="0.25">
      <c r="A19" s="166" t="s">
        <v>313</v>
      </c>
      <c r="B19" s="117"/>
      <c r="C19" s="117"/>
      <c r="D19" s="117"/>
      <c r="E19" s="117"/>
      <c r="F19" s="117"/>
      <c r="G19" s="117"/>
      <c r="H19" s="124">
        <f t="shared" si="1"/>
        <v>26.387970000000003</v>
      </c>
      <c r="I19" s="124">
        <f t="shared" si="1"/>
        <v>25.687970000000004</v>
      </c>
      <c r="J19" s="124">
        <f t="shared" si="1"/>
        <v>21.837970000000002</v>
      </c>
      <c r="K19" s="124">
        <f t="shared" si="1"/>
        <v>17.987970000000001</v>
      </c>
      <c r="L19" s="124">
        <f t="shared" si="1"/>
        <v>17.287970000000001</v>
      </c>
      <c r="M19" s="117"/>
      <c r="N19" s="117" t="s">
        <v>343</v>
      </c>
    </row>
    <row r="20" spans="1:14" ht="12.75" customHeight="1" x14ac:dyDescent="0.25">
      <c r="A20" s="125" t="s">
        <v>125</v>
      </c>
      <c r="B20" s="126"/>
      <c r="C20" s="126"/>
      <c r="D20" s="126"/>
      <c r="E20" s="126"/>
      <c r="F20" s="126"/>
      <c r="G20" s="126"/>
      <c r="H20" s="127">
        <f ca="1">SUM(H18:H19)</f>
        <v>26.387970000000003</v>
      </c>
      <c r="I20" s="127">
        <f ca="1">SUM(I18:I19)</f>
        <v>25.687970000000004</v>
      </c>
      <c r="J20" s="127">
        <f ca="1">SUM(J18:J19)</f>
        <v>23.315046348841495</v>
      </c>
      <c r="K20" s="127">
        <f ca="1">SUM(K18:K19)</f>
        <v>20.550369268123486</v>
      </c>
      <c r="L20" s="127">
        <f ca="1">SUM(L18:L19)</f>
        <v>18.845274088324039</v>
      </c>
      <c r="M20" s="117"/>
      <c r="N20" s="117"/>
    </row>
    <row r="21" spans="1:14" ht="12.75" customHeight="1" x14ac:dyDescent="0.25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</row>
    <row r="22" spans="1:14" ht="12.75" customHeight="1" x14ac:dyDescent="0.25">
      <c r="A22" s="117" t="s">
        <v>23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</row>
    <row r="23" spans="1:14" ht="12.75" customHeight="1" x14ac:dyDescent="0.25">
      <c r="A23" s="126" t="s">
        <v>302</v>
      </c>
      <c r="B23" s="126"/>
      <c r="C23" s="126"/>
      <c r="D23" s="126"/>
      <c r="E23" s="126"/>
      <c r="F23" s="126"/>
      <c r="G23" s="126"/>
      <c r="H23" s="12">
        <f>Debt!H10</f>
        <v>0</v>
      </c>
      <c r="I23" s="12">
        <f ca="1">Debt!I10</f>
        <v>0</v>
      </c>
      <c r="J23" s="12">
        <f ca="1">Debt!J10</f>
        <v>0</v>
      </c>
      <c r="K23" s="12">
        <f ca="1">Debt!K10</f>
        <v>98.471756589432914</v>
      </c>
      <c r="L23" s="12">
        <f ca="1">Debt!L10</f>
        <v>72.354861285466114</v>
      </c>
      <c r="M23" s="117"/>
      <c r="N23" s="117" t="s">
        <v>339</v>
      </c>
    </row>
    <row r="24" spans="1:14" ht="12.75" customHeight="1" x14ac:dyDescent="0.25">
      <c r="A24" s="117" t="s">
        <v>303</v>
      </c>
      <c r="B24" s="117"/>
      <c r="C24" s="117"/>
      <c r="D24" s="117"/>
      <c r="E24" s="117"/>
      <c r="F24" s="117"/>
      <c r="G24" s="117"/>
      <c r="H24" s="11">
        <f>Debt!H11</f>
        <v>763.94200000000001</v>
      </c>
      <c r="I24" s="11">
        <f>Debt!I11</f>
        <v>743.94200000000001</v>
      </c>
      <c r="J24" s="11">
        <f>Debt!J11</f>
        <v>723.94200000000001</v>
      </c>
      <c r="K24" s="11">
        <f>Debt!K11</f>
        <v>523.94200000000001</v>
      </c>
      <c r="L24" s="11">
        <f>Debt!L11</f>
        <v>503.94200000000001</v>
      </c>
      <c r="M24" s="117"/>
      <c r="N24" s="117" t="s">
        <v>339</v>
      </c>
    </row>
    <row r="25" spans="1:14" ht="12.75" customHeight="1" x14ac:dyDescent="0.25">
      <c r="A25" s="129" t="s">
        <v>306</v>
      </c>
      <c r="B25" s="117"/>
      <c r="C25" s="117"/>
      <c r="D25" s="117"/>
      <c r="E25" s="117"/>
      <c r="F25" s="117"/>
      <c r="G25" s="117"/>
      <c r="H25" s="11">
        <f ca="1">Debt!H35</f>
        <v>0</v>
      </c>
      <c r="I25" s="11">
        <f ca="1">Debt!I35</f>
        <v>0</v>
      </c>
      <c r="J25" s="11">
        <f ca="1">Debt!J35</f>
        <v>98.471756589432914</v>
      </c>
      <c r="K25" s="11">
        <f ca="1">Debt!K35</f>
        <v>72.354861285465518</v>
      </c>
      <c r="L25" s="11">
        <f ca="1">Debt!L35</f>
        <v>31.465411269546735</v>
      </c>
      <c r="M25" s="117"/>
      <c r="N25" s="117" t="s">
        <v>339</v>
      </c>
    </row>
    <row r="26" spans="1:14" ht="12.75" customHeight="1" x14ac:dyDescent="0.25">
      <c r="A26" s="117" t="s">
        <v>307</v>
      </c>
      <c r="B26" s="117"/>
      <c r="C26" s="117"/>
      <c r="D26" s="117"/>
      <c r="E26" s="117"/>
      <c r="F26" s="117"/>
      <c r="G26" s="117"/>
      <c r="H26" s="11">
        <f>Debt!H36</f>
        <v>743.94200000000001</v>
      </c>
      <c r="I26" s="11">
        <f>Debt!I36</f>
        <v>723.94200000000001</v>
      </c>
      <c r="J26" s="11">
        <f>Debt!J36</f>
        <v>523.94200000000001</v>
      </c>
      <c r="K26" s="11">
        <f>Debt!K36</f>
        <v>503.94200000000001</v>
      </c>
      <c r="L26" s="11">
        <f>Debt!L36</f>
        <v>483.94200000000001</v>
      </c>
      <c r="M26" s="117"/>
      <c r="N26" s="117" t="s">
        <v>339</v>
      </c>
    </row>
    <row r="27" spans="1:14" ht="12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</row>
    <row r="28" spans="1:14" ht="12.75" customHeight="1" x14ac:dyDescent="0.25">
      <c r="A28" s="7" t="s">
        <v>380</v>
      </c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</row>
    <row r="29" spans="1:14" ht="3" customHeight="1" x14ac:dyDescent="0.25">
      <c r="A29" s="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</row>
    <row r="30" spans="1:14" ht="12.75" customHeight="1" x14ac:dyDescent="0.25">
      <c r="A30" s="118" t="s">
        <v>381</v>
      </c>
      <c r="B30" s="118"/>
      <c r="C30" s="118"/>
      <c r="D30" s="118"/>
      <c r="E30" s="118"/>
      <c r="F30" s="118"/>
      <c r="G30" s="118"/>
      <c r="H30" s="133">
        <f ca="1">AVERAGE(H35:H36)</f>
        <v>159.14298955437997</v>
      </c>
      <c r="I30" s="133">
        <f t="shared" ref="I30:L30" ca="1" si="2">AVERAGE(I35:I36)</f>
        <v>115.83815778371064</v>
      </c>
      <c r="J30" s="133">
        <f t="shared" ca="1" si="2"/>
        <v>50.118679357333349</v>
      </c>
      <c r="K30" s="133">
        <f t="shared" ca="1" si="2"/>
        <v>24.999999999998266</v>
      </c>
      <c r="L30" s="133">
        <f t="shared" ca="1" si="2"/>
        <v>25.000000000052665</v>
      </c>
      <c r="M30" s="117"/>
      <c r="N30" s="141" t="s">
        <v>387</v>
      </c>
    </row>
    <row r="31" spans="1:14" ht="12.75" customHeight="1" x14ac:dyDescent="0.25">
      <c r="A31" s="148" t="s">
        <v>382</v>
      </c>
      <c r="B31" s="148"/>
      <c r="C31" s="148"/>
      <c r="D31" s="148"/>
      <c r="E31" s="148"/>
      <c r="F31" s="148"/>
      <c r="G31" s="148"/>
      <c r="H31" s="349">
        <v>0.03</v>
      </c>
      <c r="I31" s="349">
        <v>0.03</v>
      </c>
      <c r="J31" s="349">
        <v>0.03</v>
      </c>
      <c r="K31" s="349">
        <v>0.03</v>
      </c>
      <c r="L31" s="349">
        <v>0.03</v>
      </c>
      <c r="M31" s="117"/>
      <c r="N31" s="117"/>
    </row>
    <row r="32" spans="1:14" ht="12.75" customHeight="1" x14ac:dyDescent="0.25">
      <c r="A32" s="128" t="s">
        <v>383</v>
      </c>
      <c r="B32" s="117"/>
      <c r="C32" s="117"/>
      <c r="D32" s="117"/>
      <c r="E32" s="117"/>
      <c r="F32" s="117"/>
      <c r="G32" s="117"/>
      <c r="H32" s="350">
        <f ca="1">H30*H31</f>
        <v>4.7742896866313984</v>
      </c>
      <c r="I32" s="350">
        <f t="shared" ref="I32:L32" ca="1" si="3">I30*I31</f>
        <v>3.475144733511319</v>
      </c>
      <c r="J32" s="350">
        <f t="shared" ca="1" si="3"/>
        <v>1.5035603807200004</v>
      </c>
      <c r="K32" s="350">
        <f t="shared" ca="1" si="3"/>
        <v>0.74999999999994793</v>
      </c>
      <c r="L32" s="350">
        <f t="shared" ca="1" si="3"/>
        <v>0.75000000000157996</v>
      </c>
      <c r="M32" s="117"/>
      <c r="N32" s="117"/>
    </row>
    <row r="33" spans="1:14" ht="12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</row>
    <row r="34" spans="1:14" ht="12.75" customHeight="1" x14ac:dyDescent="0.25">
      <c r="A34" s="148" t="s">
        <v>384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17"/>
      <c r="N34" s="117"/>
    </row>
    <row r="35" spans="1:14" ht="12.75" customHeight="1" x14ac:dyDescent="0.25">
      <c r="A35" s="117" t="s">
        <v>385</v>
      </c>
      <c r="B35" s="117"/>
      <c r="C35" s="117"/>
      <c r="D35" s="117"/>
      <c r="E35" s="117"/>
      <c r="F35" s="117"/>
      <c r="G35" s="117"/>
      <c r="H35" s="10">
        <f>+'Cash Flow Statement'!H26</f>
        <v>161.84702225600537</v>
      </c>
      <c r="I35" s="10">
        <f ca="1">+'Cash Flow Statement'!I26</f>
        <v>156.43895685275456</v>
      </c>
      <c r="J35" s="10">
        <f ca="1">+'Cash Flow Statement'!J26</f>
        <v>75.237358714666726</v>
      </c>
      <c r="K35" s="10">
        <f ca="1">+'Cash Flow Statement'!K26</f>
        <v>24.999999999999972</v>
      </c>
      <c r="L35" s="10">
        <f ca="1">+'Cash Flow Statement'!L26</f>
        <v>24.999999999996675</v>
      </c>
      <c r="M35" s="117"/>
      <c r="N35" s="117" t="s">
        <v>116</v>
      </c>
    </row>
    <row r="36" spans="1:14" ht="12.75" customHeight="1" x14ac:dyDescent="0.25">
      <c r="A36" s="117" t="s">
        <v>386</v>
      </c>
      <c r="B36" s="117"/>
      <c r="C36" s="117"/>
      <c r="D36" s="117"/>
      <c r="E36" s="117"/>
      <c r="F36" s="117"/>
      <c r="G36" s="117"/>
      <c r="H36" s="11">
        <f ca="1">+'Cash Flow Statement'!H27</f>
        <v>156.43895685275456</v>
      </c>
      <c r="I36" s="11">
        <f ca="1">+'Cash Flow Statement'!I27</f>
        <v>75.237358714666726</v>
      </c>
      <c r="J36" s="11">
        <f ca="1">+'Cash Flow Statement'!J27</f>
        <v>24.999999999999972</v>
      </c>
      <c r="K36" s="11">
        <f ca="1">+'Cash Flow Statement'!K27</f>
        <v>25.000000000000597</v>
      </c>
      <c r="L36" s="11">
        <f ca="1">+'Cash Flow Statement'!L27</f>
        <v>24.999999999925222</v>
      </c>
      <c r="M36" s="117"/>
      <c r="N36" s="117" t="s">
        <v>116</v>
      </c>
    </row>
    <row r="37" spans="1:14" ht="12.75" customHeight="1" x14ac:dyDescent="0.25"/>
    <row r="38" spans="1:14" ht="12.75" customHeight="1" x14ac:dyDescent="0.25"/>
    <row r="39" spans="1:14" ht="12.75" customHeight="1" x14ac:dyDescent="0.25"/>
    <row r="40" spans="1:14" ht="12.75" customHeight="1" x14ac:dyDescent="0.25"/>
    <row r="41" spans="1:14" ht="12.75" customHeight="1" x14ac:dyDescent="0.25"/>
    <row r="42" spans="1:14" ht="12.75" customHeight="1" x14ac:dyDescent="0.25"/>
    <row r="43" spans="1:14" ht="12.75" customHeight="1" x14ac:dyDescent="0.25"/>
    <row r="44" spans="1:14" ht="12.75" customHeight="1" x14ac:dyDescent="0.25"/>
    <row r="45" spans="1:14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81"/>
  <sheetViews>
    <sheetView showGridLines="0" zoomScale="85" zoomScaleNormal="85" zoomScaleSheetLayoutView="118" workbookViewId="0"/>
  </sheetViews>
  <sheetFormatPr defaultColWidth="9.140625" defaultRowHeight="14.25" x14ac:dyDescent="0.25"/>
  <cols>
    <col min="1" max="1" width="20.28515625" style="19" customWidth="1"/>
    <col min="2" max="2" width="1.7109375" style="19" customWidth="1"/>
    <col min="3" max="3" width="6.7109375" style="19" customWidth="1"/>
    <col min="4" max="4" width="9.7109375" style="19" customWidth="1"/>
    <col min="5" max="6" width="7.7109375" style="19" customWidth="1"/>
    <col min="7" max="8" width="9.28515625" style="19" customWidth="1"/>
    <col min="9" max="16" width="6.5703125" style="19" customWidth="1"/>
    <col min="17" max="18" width="7.28515625" style="19" customWidth="1"/>
    <col min="19" max="25" width="7.7109375" style="19" customWidth="1"/>
    <col min="26" max="27" width="7.28515625" style="19" customWidth="1"/>
    <col min="28" max="28" width="13.7109375" style="19" customWidth="1"/>
    <col min="29" max="16384" width="9.140625" style="19"/>
  </cols>
  <sheetData>
    <row r="1" spans="1:27" s="117" customFormat="1" ht="18" customHeight="1" x14ac:dyDescent="0.25">
      <c r="A1" s="3" t="s">
        <v>219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21"/>
      <c r="P1" s="21" t="s">
        <v>2</v>
      </c>
    </row>
    <row r="2" spans="1:27" s="117" customFormat="1" ht="15.95" customHeight="1" thickBot="1" x14ac:dyDescent="0.3">
      <c r="A2" s="4" t="s">
        <v>289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22"/>
      <c r="P2" s="22" t="s">
        <v>215</v>
      </c>
    </row>
    <row r="3" spans="1:27" s="175" customFormat="1" ht="12.75" customHeight="1" x14ac:dyDescent="0.25"/>
    <row r="4" spans="1:27" s="175" customFormat="1" ht="12.75" customHeight="1" x14ac:dyDescent="0.25">
      <c r="A4" s="176"/>
      <c r="B4" s="176"/>
      <c r="C4" s="176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6"/>
      <c r="T4" s="176"/>
      <c r="U4" s="176"/>
    </row>
    <row r="5" spans="1:27" s="175" customFormat="1" ht="12.75" customHeight="1" x14ac:dyDescent="0.25"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</row>
    <row r="6" spans="1:27" s="175" customFormat="1" ht="11.25" x14ac:dyDescent="0.25"/>
    <row r="7" spans="1:27" s="175" customFormat="1" ht="13.5" x14ac:dyDescent="0.25">
      <c r="K7" s="178" t="s">
        <v>230</v>
      </c>
      <c r="L7" s="178"/>
      <c r="M7" s="178"/>
      <c r="N7" s="178"/>
    </row>
    <row r="8" spans="1:27" s="175" customFormat="1" ht="12.75" customHeight="1" x14ac:dyDescent="0.25">
      <c r="C8" s="179" t="s">
        <v>231</v>
      </c>
      <c r="D8" s="179" t="s">
        <v>151</v>
      </c>
      <c r="E8" s="179" t="s">
        <v>232</v>
      </c>
      <c r="F8" s="179" t="s">
        <v>149</v>
      </c>
      <c r="G8" s="208" t="s">
        <v>148</v>
      </c>
      <c r="H8" s="179" t="s">
        <v>396</v>
      </c>
      <c r="I8" s="178" t="s">
        <v>257</v>
      </c>
      <c r="J8" s="179"/>
      <c r="K8" s="178" t="s">
        <v>66</v>
      </c>
      <c r="L8" s="178"/>
      <c r="M8" s="178" t="s">
        <v>233</v>
      </c>
      <c r="N8" s="178"/>
      <c r="O8" s="178" t="s">
        <v>234</v>
      </c>
      <c r="P8" s="179"/>
      <c r="S8" s="368" t="s">
        <v>66</v>
      </c>
      <c r="T8" s="368"/>
      <c r="U8" s="368" t="s">
        <v>233</v>
      </c>
      <c r="V8" s="368"/>
      <c r="W8" s="368"/>
      <c r="X8" s="178" t="s">
        <v>237</v>
      </c>
      <c r="Y8" s="178"/>
      <c r="Z8" s="179" t="s">
        <v>235</v>
      </c>
    </row>
    <row r="9" spans="1:27" s="175" customFormat="1" ht="12.75" customHeight="1" x14ac:dyDescent="0.25">
      <c r="C9" s="178" t="s">
        <v>161</v>
      </c>
      <c r="D9" s="178" t="s">
        <v>160</v>
      </c>
      <c r="E9" s="178" t="s">
        <v>321</v>
      </c>
      <c r="F9" s="178" t="s">
        <v>157</v>
      </c>
      <c r="G9" s="209" t="s">
        <v>155</v>
      </c>
      <c r="H9" s="353" t="s">
        <v>410</v>
      </c>
      <c r="I9" s="178" t="s">
        <v>4</v>
      </c>
      <c r="J9" s="178" t="s">
        <v>5</v>
      </c>
      <c r="K9" s="178" t="s">
        <v>4</v>
      </c>
      <c r="L9" s="178" t="s">
        <v>5</v>
      </c>
      <c r="M9" s="178" t="s">
        <v>4</v>
      </c>
      <c r="N9" s="178" t="s">
        <v>5</v>
      </c>
      <c r="O9" s="178" t="s">
        <v>4</v>
      </c>
      <c r="P9" s="178" t="s">
        <v>5</v>
      </c>
      <c r="R9" s="178" t="s">
        <v>236</v>
      </c>
      <c r="S9" s="178" t="s">
        <v>4</v>
      </c>
      <c r="T9" s="360" t="s">
        <v>5</v>
      </c>
      <c r="U9" s="178" t="s">
        <v>397</v>
      </c>
      <c r="V9" s="178" t="s">
        <v>4</v>
      </c>
      <c r="W9" s="178" t="s">
        <v>5</v>
      </c>
      <c r="X9" s="178" t="s">
        <v>4</v>
      </c>
      <c r="Y9" s="178" t="s">
        <v>5</v>
      </c>
      <c r="Z9" s="178" t="s">
        <v>157</v>
      </c>
      <c r="AA9" s="178" t="s">
        <v>206</v>
      </c>
    </row>
    <row r="10" spans="1:27" s="175" customFormat="1" ht="5.0999999999999996" customHeight="1" x14ac:dyDescent="0.25"/>
    <row r="11" spans="1:27" s="175" customFormat="1" ht="11.25" x14ac:dyDescent="0.25">
      <c r="A11" s="176" t="s">
        <v>250</v>
      </c>
      <c r="C11" s="331">
        <v>57.71</v>
      </c>
      <c r="D11" s="332">
        <v>676.55</v>
      </c>
      <c r="E11" s="182">
        <f>+D11*C11</f>
        <v>39043.700499999999</v>
      </c>
      <c r="F11" s="183">
        <f>+Z11-AA11</f>
        <v>14363</v>
      </c>
      <c r="G11" s="183">
        <f>+E11+F11</f>
        <v>53406.700499999999</v>
      </c>
      <c r="H11" s="204">
        <f>(W11/U11)^(1/2)-1</f>
        <v>4.5395826561017261E-2</v>
      </c>
      <c r="I11" s="204">
        <f>S11/V11</f>
        <v>0.18717524544984807</v>
      </c>
      <c r="J11" s="204">
        <f>T11/W11</f>
        <v>0.18500433830633659</v>
      </c>
      <c r="K11" s="184">
        <f t="shared" ref="K11:K19" si="0">+$G11/S11</f>
        <v>6.1433499103727893</v>
      </c>
      <c r="L11" s="184">
        <f t="shared" ref="L11:L19" si="1">+$G11/T11</f>
        <v>5.9442601307795782</v>
      </c>
      <c r="M11" s="184">
        <f t="shared" ref="M11:M19" si="2">+$G11/V11</f>
        <v>1.1498830273583289</v>
      </c>
      <c r="N11" s="184">
        <f t="shared" ref="N11:N19" si="3">+$G11/W11</f>
        <v>1.0997139122156137</v>
      </c>
      <c r="O11" s="184">
        <f t="shared" ref="O11:O19" si="4">+C11/X11</f>
        <v>8.9279084158415838</v>
      </c>
      <c r="P11" s="184">
        <f t="shared" ref="P11:P19" si="5">+C11/Y11</f>
        <v>8.4149897929425492</v>
      </c>
      <c r="R11" s="175" t="s">
        <v>251</v>
      </c>
      <c r="S11" s="334">
        <v>8693.4166666666697</v>
      </c>
      <c r="T11" s="334">
        <v>8984.5833333333303</v>
      </c>
      <c r="U11" s="334">
        <v>44438</v>
      </c>
      <c r="V11" s="334">
        <v>46445.333333333299</v>
      </c>
      <c r="W11" s="334">
        <v>48564.176470588201</v>
      </c>
      <c r="X11" s="331">
        <v>6.4640000000000004</v>
      </c>
      <c r="Y11" s="331">
        <v>6.8579999999999997</v>
      </c>
      <c r="Z11" s="334">
        <v>16131</v>
      </c>
      <c r="AA11" s="334">
        <v>1768</v>
      </c>
    </row>
    <row r="12" spans="1:27" s="175" customFormat="1" ht="11.25" x14ac:dyDescent="0.25">
      <c r="A12" s="176" t="s">
        <v>240</v>
      </c>
      <c r="C12" s="333">
        <v>51.94</v>
      </c>
      <c r="D12" s="332">
        <v>552.69000000000005</v>
      </c>
      <c r="E12" s="187">
        <f t="shared" ref="E12:E19" si="6">+D12*C12</f>
        <v>28706.7186</v>
      </c>
      <c r="F12" s="187">
        <f t="shared" ref="F12:F19" si="7">+Z12-AA12</f>
        <v>-1029</v>
      </c>
      <c r="G12" s="187">
        <f t="shared" ref="G12:G19" si="8">+E12+F12</f>
        <v>27677.7186</v>
      </c>
      <c r="H12" s="204">
        <f t="shared" ref="H12:H19" si="9">(W12/U12)^(1/2)-1</f>
        <v>6.4422381117131611E-2</v>
      </c>
      <c r="I12" s="204">
        <f t="shared" ref="I12:I19" si="10">S12/V12</f>
        <v>0.20181966789985373</v>
      </c>
      <c r="J12" s="204">
        <f t="shared" ref="J12:J19" si="11">T12/W12</f>
        <v>0.20151702098490581</v>
      </c>
      <c r="K12" s="184">
        <f t="shared" si="0"/>
        <v>5.8995456890120428</v>
      </c>
      <c r="L12" s="184">
        <f t="shared" si="1"/>
        <v>5.5189867597208373</v>
      </c>
      <c r="M12" s="184">
        <f t="shared" si="2"/>
        <v>1.1906443517164242</v>
      </c>
      <c r="N12" s="184">
        <f t="shared" si="3"/>
        <v>1.1121697706740814</v>
      </c>
      <c r="O12" s="184">
        <f t="shared" si="4"/>
        <v>10.98329456544724</v>
      </c>
      <c r="P12" s="184">
        <f t="shared" si="5"/>
        <v>9.9387676999617298</v>
      </c>
      <c r="R12" s="175" t="s">
        <v>241</v>
      </c>
      <c r="S12" s="335">
        <v>4691.5</v>
      </c>
      <c r="T12" s="335">
        <v>5015</v>
      </c>
      <c r="U12" s="335">
        <v>21965</v>
      </c>
      <c r="V12" s="335">
        <v>23246</v>
      </c>
      <c r="W12" s="335">
        <v>24886.2352941176</v>
      </c>
      <c r="X12" s="333">
        <v>4.7290000000000001</v>
      </c>
      <c r="Y12" s="333">
        <v>5.226</v>
      </c>
      <c r="Z12" s="335">
        <v>2660</v>
      </c>
      <c r="AA12" s="335">
        <v>3689</v>
      </c>
    </row>
    <row r="13" spans="1:27" s="175" customFormat="1" ht="11.25" x14ac:dyDescent="0.25">
      <c r="A13" s="175" t="s">
        <v>248</v>
      </c>
      <c r="C13" s="333">
        <v>33.880000000000003</v>
      </c>
      <c r="D13" s="332">
        <v>449.06</v>
      </c>
      <c r="E13" s="187">
        <f t="shared" si="6"/>
        <v>15214.152800000002</v>
      </c>
      <c r="F13" s="187">
        <f t="shared" si="7"/>
        <v>28575</v>
      </c>
      <c r="G13" s="187">
        <f t="shared" si="8"/>
        <v>43789.152800000003</v>
      </c>
      <c r="H13" s="204">
        <f t="shared" si="9"/>
        <v>4.3629751378552628E-2</v>
      </c>
      <c r="I13" s="204">
        <f t="shared" si="10"/>
        <v>0.14086029514871123</v>
      </c>
      <c r="J13" s="204">
        <f t="shared" si="11"/>
        <v>0.13590019366224595</v>
      </c>
      <c r="K13" s="184">
        <f t="shared" si="0"/>
        <v>6.6808161956623779</v>
      </c>
      <c r="L13" s="184">
        <f t="shared" si="1"/>
        <v>6.6419194044827181</v>
      </c>
      <c r="M13" s="184">
        <f t="shared" si="2"/>
        <v>0.94106174115529273</v>
      </c>
      <c r="N13" s="184">
        <f t="shared" si="3"/>
        <v>0.90263813335823062</v>
      </c>
      <c r="O13" s="184">
        <f t="shared" si="4"/>
        <v>6.0248962655601694</v>
      </c>
      <c r="P13" s="184">
        <f t="shared" si="5"/>
        <v>5.8967317733513882</v>
      </c>
      <c r="R13" s="175" t="s">
        <v>249</v>
      </c>
      <c r="S13" s="335">
        <v>6554.4615384615399</v>
      </c>
      <c r="T13" s="335">
        <v>6592.8461538461506</v>
      </c>
      <c r="U13" s="335">
        <v>44541</v>
      </c>
      <c r="V13" s="335">
        <v>46531.647058823502</v>
      </c>
      <c r="W13" s="335">
        <v>48512.411764705903</v>
      </c>
      <c r="X13" s="333">
        <v>5.6233333333333304</v>
      </c>
      <c r="Y13" s="333">
        <v>5.7455555555555504</v>
      </c>
      <c r="Z13" s="335">
        <v>33335</v>
      </c>
      <c r="AA13" s="335">
        <v>4760</v>
      </c>
    </row>
    <row r="14" spans="1:27" s="175" customFormat="1" ht="11.25" x14ac:dyDescent="0.25">
      <c r="A14" s="176" t="s">
        <v>252</v>
      </c>
      <c r="C14" s="333">
        <v>84.58</v>
      </c>
      <c r="D14" s="332">
        <v>266.73</v>
      </c>
      <c r="E14" s="187">
        <f t="shared" si="6"/>
        <v>22560.023400000002</v>
      </c>
      <c r="F14" s="187">
        <f t="shared" si="7"/>
        <v>10778</v>
      </c>
      <c r="G14" s="187">
        <f t="shared" si="8"/>
        <v>33338.023400000005</v>
      </c>
      <c r="H14" s="204">
        <f t="shared" si="9"/>
        <v>5.466811927142845E-2</v>
      </c>
      <c r="I14" s="204">
        <f t="shared" si="10"/>
        <v>0.15617222639273184</v>
      </c>
      <c r="J14" s="204">
        <f t="shared" si="11"/>
        <v>0.15318653811682151</v>
      </c>
      <c r="K14" s="184">
        <f t="shared" si="0"/>
        <v>4.9174147968778836</v>
      </c>
      <c r="L14" s="184">
        <f t="shared" si="1"/>
        <v>4.7370286526233532</v>
      </c>
      <c r="M14" s="184">
        <f t="shared" si="2"/>
        <v>0.76796361692498238</v>
      </c>
      <c r="N14" s="184">
        <f t="shared" si="3"/>
        <v>0.72564902025556288</v>
      </c>
      <c r="O14" s="184">
        <f t="shared" si="4"/>
        <v>7.6432315199710823</v>
      </c>
      <c r="P14" s="184">
        <f t="shared" si="5"/>
        <v>7.0636378820778347</v>
      </c>
      <c r="R14" s="175" t="s">
        <v>253</v>
      </c>
      <c r="S14" s="335">
        <v>6779.5833333333303</v>
      </c>
      <c r="T14" s="335">
        <v>7037.75</v>
      </c>
      <c r="U14" s="335">
        <v>41303</v>
      </c>
      <c r="V14" s="335">
        <v>43410.941176470595</v>
      </c>
      <c r="W14" s="335">
        <v>45942.352941176498</v>
      </c>
      <c r="X14" s="333">
        <v>11.066000000000001</v>
      </c>
      <c r="Y14" s="333">
        <v>11.974</v>
      </c>
      <c r="Z14" s="335">
        <v>14728</v>
      </c>
      <c r="AA14" s="335">
        <v>3950</v>
      </c>
    </row>
    <row r="15" spans="1:27" s="175" customFormat="1" ht="11.25" x14ac:dyDescent="0.25">
      <c r="A15" s="176" t="s">
        <v>238</v>
      </c>
      <c r="C15" s="333">
        <v>58.33</v>
      </c>
      <c r="D15" s="332">
        <v>123.61</v>
      </c>
      <c r="E15" s="187">
        <f t="shared" si="6"/>
        <v>7210.1713</v>
      </c>
      <c r="F15" s="187">
        <f t="shared" si="7"/>
        <v>874</v>
      </c>
      <c r="G15" s="187">
        <f t="shared" si="8"/>
        <v>8084.1713</v>
      </c>
      <c r="H15" s="204">
        <f t="shared" si="9"/>
        <v>5.6155606916564738E-2</v>
      </c>
      <c r="I15" s="204">
        <f t="shared" si="10"/>
        <v>0.17309935363299742</v>
      </c>
      <c r="J15" s="204">
        <f t="shared" si="11"/>
        <v>0.17539835790687336</v>
      </c>
      <c r="K15" s="184">
        <f t="shared" si="0"/>
        <v>5.3781789678768197</v>
      </c>
      <c r="L15" s="184">
        <f t="shared" si="1"/>
        <v>4.9999292366142507</v>
      </c>
      <c r="M15" s="184">
        <f t="shared" si="2"/>
        <v>0.93095930306205876</v>
      </c>
      <c r="N15" s="184">
        <f t="shared" si="3"/>
        <v>0.87697937775270651</v>
      </c>
      <c r="O15" s="184">
        <f t="shared" si="4"/>
        <v>9.747660427807487</v>
      </c>
      <c r="P15" s="184">
        <f t="shared" si="5"/>
        <v>8.8782343987823431</v>
      </c>
      <c r="R15" s="175" t="s">
        <v>239</v>
      </c>
      <c r="S15" s="335">
        <v>1503.1428571428598</v>
      </c>
      <c r="T15" s="335">
        <v>1616.8571428571402</v>
      </c>
      <c r="U15" s="335">
        <v>8264</v>
      </c>
      <c r="V15" s="335">
        <v>8683.7000000000007</v>
      </c>
      <c r="W15" s="335">
        <v>9218.2000000000007</v>
      </c>
      <c r="X15" s="333">
        <v>5.984</v>
      </c>
      <c r="Y15" s="333">
        <v>6.57</v>
      </c>
      <c r="Z15" s="335">
        <v>2110</v>
      </c>
      <c r="AA15" s="335">
        <v>1236</v>
      </c>
    </row>
    <row r="16" spans="1:27" s="175" customFormat="1" ht="11.25" x14ac:dyDescent="0.25">
      <c r="A16" s="176" t="s">
        <v>244</v>
      </c>
      <c r="C16" s="333">
        <v>16.34</v>
      </c>
      <c r="D16" s="332">
        <v>300.95</v>
      </c>
      <c r="E16" s="187">
        <f t="shared" si="6"/>
        <v>4917.5230000000001</v>
      </c>
      <c r="F16" s="187">
        <f t="shared" si="7"/>
        <v>1212</v>
      </c>
      <c r="G16" s="187">
        <f t="shared" si="8"/>
        <v>6129.5230000000001</v>
      </c>
      <c r="H16" s="204">
        <f t="shared" si="9"/>
        <v>7.6461583486866935E-2</v>
      </c>
      <c r="I16" s="204">
        <f t="shared" si="10"/>
        <v>0.16814260133485262</v>
      </c>
      <c r="J16" s="204">
        <f t="shared" si="11"/>
        <v>0.17530144726886365</v>
      </c>
      <c r="K16" s="184">
        <f t="shared" si="0"/>
        <v>4.4507137670636077</v>
      </c>
      <c r="L16" s="184">
        <f t="shared" si="1"/>
        <v>3.9402950629982003</v>
      </c>
      <c r="M16" s="184">
        <f t="shared" si="2"/>
        <v>0.74835459059091625</v>
      </c>
      <c r="N16" s="184">
        <f t="shared" si="3"/>
        <v>0.69073942720994286</v>
      </c>
      <c r="O16" s="184">
        <f t="shared" si="4"/>
        <v>8.9780219780219781</v>
      </c>
      <c r="P16" s="184">
        <f t="shared" si="5"/>
        <v>7.6489174956114683</v>
      </c>
      <c r="R16" s="175" t="s">
        <v>245</v>
      </c>
      <c r="S16" s="335">
        <v>1377.2</v>
      </c>
      <c r="T16" s="335">
        <v>1555.6</v>
      </c>
      <c r="U16" s="335">
        <v>7658</v>
      </c>
      <c r="V16" s="335">
        <v>8190.6666666666697</v>
      </c>
      <c r="W16" s="335">
        <v>8873.8571428571395</v>
      </c>
      <c r="X16" s="333">
        <v>1.82</v>
      </c>
      <c r="Y16" s="333">
        <v>2.13625</v>
      </c>
      <c r="Z16" s="335">
        <v>2099</v>
      </c>
      <c r="AA16" s="335">
        <v>887</v>
      </c>
    </row>
    <row r="17" spans="1:28" s="175" customFormat="1" ht="11.25" x14ac:dyDescent="0.25">
      <c r="A17" s="176" t="s">
        <v>246</v>
      </c>
      <c r="C17" s="333">
        <v>54.7</v>
      </c>
      <c r="D17" s="332">
        <v>68.33</v>
      </c>
      <c r="E17" s="187">
        <f t="shared" si="6"/>
        <v>3737.6510000000003</v>
      </c>
      <c r="F17" s="187">
        <f t="shared" si="7"/>
        <v>1079.2539999999999</v>
      </c>
      <c r="G17" s="187">
        <f t="shared" si="8"/>
        <v>4816.9050000000007</v>
      </c>
      <c r="H17" s="204">
        <f t="shared" si="9"/>
        <v>0.16379577377865728</v>
      </c>
      <c r="I17" s="204">
        <f t="shared" si="10"/>
        <v>0.22006323949408405</v>
      </c>
      <c r="J17" s="204">
        <f t="shared" si="11"/>
        <v>0.21075108098008891</v>
      </c>
      <c r="K17" s="184">
        <f t="shared" si="0"/>
        <v>5.581581691772886</v>
      </c>
      <c r="L17" s="184">
        <f t="shared" si="1"/>
        <v>5.078201552616445</v>
      </c>
      <c r="M17" s="184">
        <f t="shared" si="2"/>
        <v>1.2283009485924115</v>
      </c>
      <c r="N17" s="184">
        <f t="shared" si="3"/>
        <v>1.0702364666486814</v>
      </c>
      <c r="O17" s="184">
        <f t="shared" si="4"/>
        <v>8.4495076269550111</v>
      </c>
      <c r="P17" s="184">
        <f t="shared" si="5"/>
        <v>8.0515179392824283</v>
      </c>
      <c r="R17" s="175" t="s">
        <v>247</v>
      </c>
      <c r="S17" s="335">
        <v>863</v>
      </c>
      <c r="T17" s="335">
        <v>948.54545454545496</v>
      </c>
      <c r="U17" s="335">
        <v>3323.0340000000001</v>
      </c>
      <c r="V17" s="335">
        <v>3921.6</v>
      </c>
      <c r="W17" s="335">
        <v>4500.7857142857101</v>
      </c>
      <c r="X17" s="333">
        <v>6.4737499999999999</v>
      </c>
      <c r="Y17" s="333">
        <v>6.7937500000000002</v>
      </c>
      <c r="Z17" s="335">
        <v>2186.7759999999998</v>
      </c>
      <c r="AA17" s="335">
        <v>1107.5219999999999</v>
      </c>
    </row>
    <row r="18" spans="1:28" s="175" customFormat="1" ht="11.25" x14ac:dyDescent="0.25">
      <c r="A18" s="176" t="s">
        <v>388</v>
      </c>
      <c r="C18" s="345">
        <v>133.87</v>
      </c>
      <c r="D18" s="344">
        <v>16.09</v>
      </c>
      <c r="E18" s="187">
        <f t="shared" ref="E18" si="12">+D18*C18</f>
        <v>2153.9683</v>
      </c>
      <c r="F18" s="187">
        <f t="shared" ref="F18" si="13">+Z18-AA18</f>
        <v>861.62</v>
      </c>
      <c r="G18" s="187">
        <f t="shared" ref="G18" si="14">+E18+F18</f>
        <v>3015.5882999999999</v>
      </c>
      <c r="H18" s="204">
        <f t="shared" si="9"/>
        <v>0.10105966503949548</v>
      </c>
      <c r="I18" s="204">
        <f t="shared" ref="I18" si="15">S18/V18</f>
        <v>0.27449185708875096</v>
      </c>
      <c r="J18" s="204">
        <f t="shared" ref="J18" si="16">T18/W18</f>
        <v>0.26694286420974522</v>
      </c>
      <c r="K18" s="184">
        <f t="shared" si="0"/>
        <v>6.0101411061285495</v>
      </c>
      <c r="L18" s="184">
        <f t="shared" si="1"/>
        <v>5.5883035441278661</v>
      </c>
      <c r="M18" s="184">
        <f t="shared" si="2"/>
        <v>1.6497347935866657</v>
      </c>
      <c r="N18" s="184">
        <f t="shared" si="3"/>
        <v>1.4917577541429632</v>
      </c>
      <c r="O18" s="184">
        <f t="shared" si="4"/>
        <v>10.0623872519543</v>
      </c>
      <c r="P18" s="184">
        <f t="shared" si="5"/>
        <v>9.1328967116932738</v>
      </c>
      <c r="R18" s="175" t="s">
        <v>256</v>
      </c>
      <c r="S18" s="335">
        <v>501.75</v>
      </c>
      <c r="T18" s="335">
        <v>539.625</v>
      </c>
      <c r="U18" s="335">
        <v>1667.4469999999999</v>
      </c>
      <c r="V18" s="335">
        <v>1827.9230769230799</v>
      </c>
      <c r="W18" s="335">
        <v>2021.5</v>
      </c>
      <c r="X18" s="333">
        <v>13.304</v>
      </c>
      <c r="Y18" s="333">
        <v>14.657999999999999</v>
      </c>
      <c r="Z18" s="335">
        <v>1272</v>
      </c>
      <c r="AA18" s="335">
        <v>410.38</v>
      </c>
    </row>
    <row r="19" spans="1:28" s="175" customFormat="1" ht="11.25" x14ac:dyDescent="0.25">
      <c r="A19" s="176" t="s">
        <v>242</v>
      </c>
      <c r="C19" s="333">
        <v>27.55</v>
      </c>
      <c r="D19" s="332">
        <v>48.42</v>
      </c>
      <c r="E19" s="187">
        <f t="shared" si="6"/>
        <v>1333.971</v>
      </c>
      <c r="F19" s="187">
        <f t="shared" si="7"/>
        <v>208.96299999999997</v>
      </c>
      <c r="G19" s="187">
        <f t="shared" si="8"/>
        <v>1542.934</v>
      </c>
      <c r="H19" s="204">
        <f t="shared" si="9"/>
        <v>2.0925167993746108E-2</v>
      </c>
      <c r="I19" s="204">
        <f t="shared" si="10"/>
        <v>0.14686910284884586</v>
      </c>
      <c r="J19" s="204">
        <f t="shared" si="11"/>
        <v>0.13897342260093326</v>
      </c>
      <c r="K19" s="184">
        <f t="shared" si="0"/>
        <v>3.7204746813641032</v>
      </c>
      <c r="L19" s="184">
        <f t="shared" si="1"/>
        <v>3.7540973236009734</v>
      </c>
      <c r="M19" s="184">
        <f t="shared" si="2"/>
        <v>0.54642277862379152</v>
      </c>
      <c r="N19" s="184">
        <f t="shared" si="3"/>
        <v>0.52171975383783054</v>
      </c>
      <c r="O19" s="184">
        <f t="shared" si="4"/>
        <v>6.352805534204454</v>
      </c>
      <c r="P19" s="184">
        <f t="shared" si="5"/>
        <v>5.924731182795699</v>
      </c>
      <c r="R19" s="175" t="s">
        <v>243</v>
      </c>
      <c r="S19" s="335">
        <v>414.71428571428601</v>
      </c>
      <c r="T19" s="335">
        <v>411</v>
      </c>
      <c r="U19" s="336">
        <v>2837.4110000000001</v>
      </c>
      <c r="V19" s="336">
        <v>2823.7</v>
      </c>
      <c r="W19" s="336">
        <v>2957.4</v>
      </c>
      <c r="X19" s="333">
        <v>4.3366666666666696</v>
      </c>
      <c r="Y19" s="333">
        <v>4.6500000000000004</v>
      </c>
      <c r="Z19" s="335">
        <v>709.78099999999995</v>
      </c>
      <c r="AA19" s="335">
        <v>500.81799999999998</v>
      </c>
    </row>
    <row r="20" spans="1:28" s="175" customFormat="1" ht="5.0999999999999996" customHeight="1" x14ac:dyDescent="0.25">
      <c r="A20" s="176"/>
      <c r="C20" s="186"/>
      <c r="D20" s="266"/>
      <c r="E20" s="187"/>
      <c r="F20" s="187"/>
      <c r="G20" s="187"/>
      <c r="H20" s="187"/>
      <c r="I20" s="187"/>
      <c r="J20" s="187"/>
      <c r="K20" s="184"/>
      <c r="L20" s="184"/>
      <c r="M20" s="184"/>
      <c r="N20" s="184"/>
      <c r="O20" s="184"/>
      <c r="P20" s="184"/>
      <c r="S20" s="181"/>
      <c r="T20" s="181"/>
      <c r="U20" s="181"/>
      <c r="V20" s="181"/>
      <c r="W20" s="181"/>
      <c r="X20" s="181"/>
      <c r="Y20" s="181"/>
      <c r="Z20" s="181"/>
      <c r="AA20" s="181"/>
    </row>
    <row r="21" spans="1:28" s="175" customFormat="1" ht="11.25" x14ac:dyDescent="0.25">
      <c r="A21" s="188" t="s">
        <v>254</v>
      </c>
      <c r="B21" s="189"/>
      <c r="C21" s="190"/>
      <c r="D21" s="267"/>
      <c r="E21" s="257">
        <f t="shared" ref="E21:P21" si="17">AVERAGE(E11:E19)</f>
        <v>13875.319988888888</v>
      </c>
      <c r="F21" s="257">
        <f t="shared" si="17"/>
        <v>6324.7596666666677</v>
      </c>
      <c r="G21" s="257">
        <f t="shared" si="17"/>
        <v>20200.079655555557</v>
      </c>
      <c r="H21" s="205">
        <f>AVERAGE(H11:H19)</f>
        <v>6.9612652838162273E-2</v>
      </c>
      <c r="I21" s="205">
        <f>AVERAGE(I11:I19)</f>
        <v>0.18541039881007509</v>
      </c>
      <c r="J21" s="205">
        <f>AVERAGE(J11:J19)</f>
        <v>0.18255280711520161</v>
      </c>
      <c r="K21" s="193">
        <f t="shared" si="17"/>
        <v>5.4202463117923401</v>
      </c>
      <c r="L21" s="193">
        <f t="shared" si="17"/>
        <v>5.1336690741738025</v>
      </c>
      <c r="M21" s="193">
        <f t="shared" si="17"/>
        <v>1.0170361279567635</v>
      </c>
      <c r="N21" s="193">
        <f t="shared" si="17"/>
        <v>0.94351151289951263</v>
      </c>
      <c r="O21" s="193">
        <f t="shared" si="17"/>
        <v>8.5744126206403664</v>
      </c>
      <c r="P21" s="193">
        <f t="shared" si="17"/>
        <v>7.8833805418331906</v>
      </c>
      <c r="S21" s="181"/>
      <c r="T21" s="181"/>
      <c r="U21" s="181"/>
      <c r="V21" s="181"/>
      <c r="W21" s="181"/>
      <c r="X21" s="181"/>
      <c r="Y21" s="181"/>
      <c r="Z21" s="181"/>
      <c r="AA21" s="181"/>
    </row>
    <row r="22" spans="1:28" s="175" customFormat="1" ht="11.25" x14ac:dyDescent="0.25">
      <c r="A22" s="188" t="s">
        <v>255</v>
      </c>
      <c r="B22" s="189"/>
      <c r="C22" s="190"/>
      <c r="D22" s="267"/>
      <c r="E22" s="192">
        <f t="shared" ref="E22:P22" si="18">MEDIAN(E11:E19)</f>
        <v>7210.1713</v>
      </c>
      <c r="F22" s="192">
        <f t="shared" si="18"/>
        <v>1079.2539999999999</v>
      </c>
      <c r="G22" s="192">
        <f t="shared" si="18"/>
        <v>8084.1713</v>
      </c>
      <c r="H22" s="205">
        <f>MEDIAN(H11:H19)</f>
        <v>5.6155606916564738E-2</v>
      </c>
      <c r="I22" s="205">
        <f>MEDIAN(I11:I19)</f>
        <v>0.17309935363299742</v>
      </c>
      <c r="J22" s="205">
        <f>MEDIAN(J11:J19)</f>
        <v>0.17539835790687336</v>
      </c>
      <c r="K22" s="193">
        <f t="shared" si="18"/>
        <v>5.581581691772886</v>
      </c>
      <c r="L22" s="193">
        <f t="shared" si="18"/>
        <v>5.078201552616445</v>
      </c>
      <c r="M22" s="193">
        <f t="shared" si="18"/>
        <v>0.94106174115529273</v>
      </c>
      <c r="N22" s="193">
        <f t="shared" si="18"/>
        <v>0.90263813335823062</v>
      </c>
      <c r="O22" s="193">
        <f t="shared" si="18"/>
        <v>8.9279084158415838</v>
      </c>
      <c r="P22" s="193">
        <f t="shared" si="18"/>
        <v>8.0515179392824283</v>
      </c>
      <c r="S22" s="181"/>
      <c r="T22" s="181"/>
      <c r="U22" s="181"/>
      <c r="V22" s="181"/>
      <c r="W22" s="181"/>
      <c r="X22" s="181"/>
      <c r="Y22" s="181"/>
      <c r="Z22" s="181"/>
      <c r="AA22" s="181"/>
    </row>
    <row r="23" spans="1:28" s="175" customFormat="1" ht="11.25" x14ac:dyDescent="0.25">
      <c r="A23" s="176"/>
      <c r="D23" s="203"/>
      <c r="E23" s="187"/>
      <c r="F23" s="187"/>
      <c r="G23" s="187"/>
      <c r="H23" s="187"/>
      <c r="I23" s="187"/>
      <c r="J23" s="187"/>
    </row>
    <row r="24" spans="1:28" s="175" customFormat="1" ht="11.25" x14ac:dyDescent="0.25">
      <c r="A24" s="176"/>
      <c r="D24" s="203"/>
      <c r="E24" s="187"/>
      <c r="F24" s="187"/>
      <c r="G24" s="187"/>
      <c r="H24" s="187"/>
      <c r="I24" s="187"/>
      <c r="J24" s="187"/>
    </row>
    <row r="25" spans="1:28" s="175" customFormat="1" ht="11.25" x14ac:dyDescent="0.25">
      <c r="A25" s="259" t="s">
        <v>389</v>
      </c>
      <c r="B25" s="260"/>
      <c r="C25" s="363">
        <v>63.24</v>
      </c>
      <c r="D25" s="364">
        <f>+Equity!G21</f>
        <v>14.568283555966271</v>
      </c>
      <c r="E25" s="261">
        <f>+D25*C25</f>
        <v>921.29825207930708</v>
      </c>
      <c r="F25" s="352">
        <f>Z25-AA25</f>
        <v>602.0949777439946</v>
      </c>
      <c r="G25" s="261">
        <f>+E25+F25</f>
        <v>1523.3932298233017</v>
      </c>
      <c r="H25" s="262">
        <f t="shared" ref="H25" si="19">(W25/U25)^(1/2)-1</f>
        <v>6.7473653070650785E-2</v>
      </c>
      <c r="I25" s="262">
        <f>S25/V25</f>
        <v>0.186</v>
      </c>
      <c r="J25" s="262">
        <f>T25/W25</f>
        <v>0.19</v>
      </c>
      <c r="K25" s="263">
        <f>+$G25/S25</f>
        <v>5.367726773802187</v>
      </c>
      <c r="L25" s="263">
        <f>+$G25/T25</f>
        <v>4.9572849052989412</v>
      </c>
      <c r="M25" s="263">
        <f>+$G25/V25</f>
        <v>0.99839717992720678</v>
      </c>
      <c r="N25" s="263">
        <f>+$G25/W25</f>
        <v>0.94188413200679888</v>
      </c>
      <c r="O25" s="263">
        <f ca="1">+C25/X25</f>
        <v>9.6216988002538173</v>
      </c>
      <c r="P25" s="264">
        <f ca="1">+C25/Y25</f>
        <v>8.8350340622606574</v>
      </c>
      <c r="R25" s="277" t="s">
        <v>393</v>
      </c>
      <c r="S25" s="276">
        <f>'Cash Flow Statement'!H32</f>
        <v>283.80603074999999</v>
      </c>
      <c r="T25" s="276">
        <f>'Cash Flow Statement'!I32</f>
        <v>307.30394942499998</v>
      </c>
      <c r="U25" s="276">
        <f>'Income Statement'!G10</f>
        <v>1419.385</v>
      </c>
      <c r="V25" s="276">
        <f>'Income Statement'!H10</f>
        <v>1525.8388749999999</v>
      </c>
      <c r="W25" s="276">
        <f>'Income Statement'!I10</f>
        <v>1617.3892074999999</v>
      </c>
      <c r="X25" s="278">
        <f ca="1">Equity!H26</f>
        <v>6.5726439075739673</v>
      </c>
      <c r="Y25" s="278">
        <f ca="1">Equity!I26</f>
        <v>7.1578671405618239</v>
      </c>
      <c r="Z25" s="276">
        <f>Debt!G37</f>
        <v>763.94200000000001</v>
      </c>
      <c r="AA25" s="351">
        <f>'Balance Sheet'!G10</f>
        <v>161.84702225600537</v>
      </c>
    </row>
    <row r="26" spans="1:28" s="175" customFormat="1" ht="11.25" x14ac:dyDescent="0.25">
      <c r="A26" s="176"/>
    </row>
    <row r="27" spans="1:28" s="175" customFormat="1" ht="11.25" x14ac:dyDescent="0.25">
      <c r="A27" s="176"/>
    </row>
    <row r="28" spans="1:28" s="175" customFormat="1" ht="11.25" x14ac:dyDescent="0.25">
      <c r="A28" s="176"/>
      <c r="F28" s="183"/>
      <c r="K28" s="365"/>
      <c r="L28" s="365"/>
    </row>
    <row r="29" spans="1:28" s="175" customFormat="1" ht="11.25" x14ac:dyDescent="0.25">
      <c r="A29" s="176"/>
    </row>
    <row r="30" spans="1:28" s="175" customFormat="1" ht="11.25" x14ac:dyDescent="0.25">
      <c r="A30" s="176"/>
    </row>
    <row r="31" spans="1:28" s="175" customFormat="1" ht="11.25" x14ac:dyDescent="0.25">
      <c r="A31" s="176"/>
    </row>
    <row r="32" spans="1:28" s="175" customFormat="1" ht="11.25" customHeight="1" x14ac:dyDescent="0.25">
      <c r="Y32"/>
      <c r="Z32"/>
      <c r="AA32"/>
      <c r="AB32"/>
    </row>
    <row r="33" spans="1:28" s="175" customFormat="1" ht="11.25" customHeight="1" x14ac:dyDescent="0.25">
      <c r="Y33"/>
      <c r="Z33"/>
      <c r="AA33"/>
      <c r="AB33"/>
    </row>
    <row r="34" spans="1:28" s="175" customFormat="1" ht="11.25" customHeight="1" x14ac:dyDescent="0.25"/>
    <row r="35" spans="1:28" s="175" customFormat="1" ht="11.25" x14ac:dyDescent="0.25">
      <c r="A35" s="176"/>
      <c r="S35" s="185"/>
      <c r="T35" s="185"/>
      <c r="U35" s="185"/>
      <c r="V35" s="185"/>
      <c r="W35" s="185"/>
      <c r="X35" s="180"/>
      <c r="Y35" s="180"/>
      <c r="Z35" s="185"/>
      <c r="AA35" s="185"/>
    </row>
    <row r="36" spans="1:28" s="175" customFormat="1" ht="11.25" x14ac:dyDescent="0.25">
      <c r="A36" s="176"/>
      <c r="S36" s="185"/>
      <c r="T36" s="185"/>
      <c r="U36" s="185"/>
      <c r="V36" s="185"/>
      <c r="W36" s="185"/>
      <c r="X36" s="180"/>
      <c r="Y36" s="180"/>
      <c r="Z36" s="185"/>
      <c r="AA36" s="185"/>
    </row>
    <row r="37" spans="1:28" s="175" customFormat="1" ht="11.25" x14ac:dyDescent="0.25">
      <c r="A37" s="176"/>
      <c r="S37" s="185"/>
      <c r="T37" s="185"/>
      <c r="U37" s="185"/>
      <c r="V37" s="185"/>
      <c r="W37" s="185"/>
      <c r="X37" s="180"/>
      <c r="Y37" s="180"/>
      <c r="Z37" s="185"/>
      <c r="AA37" s="185"/>
    </row>
    <row r="38" spans="1:28" s="175" customFormat="1" ht="11.25" x14ac:dyDescent="0.25">
      <c r="A38" s="176"/>
      <c r="S38" s="185"/>
      <c r="T38" s="185"/>
      <c r="U38" s="185"/>
      <c r="V38" s="185"/>
      <c r="W38" s="185"/>
      <c r="X38" s="180"/>
      <c r="Y38" s="180"/>
      <c r="Z38" s="185"/>
      <c r="AA38" s="185"/>
    </row>
    <row r="39" spans="1:28" s="175" customFormat="1" ht="11.25" x14ac:dyDescent="0.25">
      <c r="A39" s="176"/>
      <c r="S39" s="185"/>
      <c r="T39" s="185"/>
      <c r="U39" s="185"/>
      <c r="V39" s="185"/>
      <c r="W39" s="185"/>
      <c r="X39" s="180"/>
      <c r="Y39" s="180"/>
      <c r="Z39" s="185"/>
      <c r="AA39" s="185"/>
    </row>
    <row r="40" spans="1:28" s="175" customFormat="1" ht="11.25" x14ac:dyDescent="0.25">
      <c r="A40" s="176"/>
      <c r="S40" s="181"/>
      <c r="T40" s="181"/>
      <c r="U40" s="181"/>
      <c r="V40" s="181"/>
      <c r="W40" s="181"/>
      <c r="X40" s="186"/>
      <c r="Y40" s="186"/>
      <c r="Z40" s="181"/>
      <c r="AA40" s="181"/>
    </row>
    <row r="41" spans="1:28" s="175" customFormat="1" ht="11.25" x14ac:dyDescent="0.25">
      <c r="A41" s="258"/>
      <c r="S41" s="181"/>
      <c r="T41" s="181"/>
      <c r="U41" s="181"/>
      <c r="V41" s="181"/>
      <c r="W41" s="181"/>
      <c r="X41" s="186"/>
      <c r="Y41" s="186"/>
      <c r="Z41" s="181"/>
      <c r="AA41" s="181"/>
    </row>
    <row r="42" spans="1:28" s="175" customFormat="1" ht="11.25" x14ac:dyDescent="0.25">
      <c r="A42" s="176"/>
      <c r="S42" s="181"/>
      <c r="T42" s="181"/>
      <c r="U42" s="181"/>
      <c r="V42" s="181"/>
      <c r="W42" s="181"/>
      <c r="X42" s="186"/>
      <c r="Y42" s="186"/>
      <c r="Z42" s="181"/>
      <c r="AA42" s="181"/>
    </row>
    <row r="43" spans="1:28" s="175" customFormat="1" ht="11.25" x14ac:dyDescent="0.25">
      <c r="A43" s="176"/>
      <c r="S43" s="181"/>
      <c r="T43" s="181"/>
      <c r="U43" s="181"/>
      <c r="V43" s="181"/>
      <c r="W43" s="181"/>
      <c r="X43" s="186"/>
      <c r="Y43" s="186"/>
      <c r="Z43" s="181"/>
      <c r="AA43" s="181"/>
    </row>
    <row r="44" spans="1:28" s="175" customFormat="1" ht="11.25" x14ac:dyDescent="0.25">
      <c r="A44" s="176"/>
      <c r="S44" s="181"/>
      <c r="T44" s="181"/>
      <c r="U44" s="181"/>
      <c r="V44" s="181"/>
      <c r="W44" s="181"/>
      <c r="X44" s="186"/>
      <c r="Y44" s="186"/>
      <c r="Z44" s="181"/>
      <c r="AA44" s="181"/>
    </row>
    <row r="45" spans="1:28" s="175" customFormat="1" ht="11.25" x14ac:dyDescent="0.25">
      <c r="A45" s="176"/>
      <c r="S45" s="181"/>
      <c r="T45" s="181"/>
      <c r="U45" s="181"/>
      <c r="V45" s="181"/>
      <c r="W45" s="181"/>
      <c r="X45" s="186"/>
      <c r="Y45" s="186"/>
      <c r="Z45" s="181"/>
      <c r="AA45" s="181"/>
    </row>
    <row r="46" spans="1:28" s="175" customFormat="1" ht="11.25" x14ac:dyDescent="0.25">
      <c r="A46" s="176"/>
      <c r="S46" s="181"/>
      <c r="T46" s="181"/>
      <c r="U46" s="181"/>
      <c r="V46" s="181"/>
      <c r="W46" s="181"/>
      <c r="X46" s="186"/>
      <c r="Y46" s="186"/>
      <c r="Z46" s="181"/>
      <c r="AA46" s="181"/>
    </row>
    <row r="47" spans="1:28" s="175" customFormat="1" ht="11.25" x14ac:dyDescent="0.25">
      <c r="A47" s="258" t="s">
        <v>411</v>
      </c>
      <c r="S47" s="181"/>
      <c r="T47" s="181"/>
      <c r="U47" s="181"/>
      <c r="V47" s="181"/>
      <c r="W47" s="181"/>
      <c r="X47" s="186"/>
      <c r="Y47" s="186"/>
      <c r="Z47" s="181"/>
      <c r="AA47" s="181"/>
    </row>
    <row r="48" spans="1:28" s="175" customFormat="1" ht="11.25" x14ac:dyDescent="0.25">
      <c r="A48" s="176"/>
      <c r="S48" s="181"/>
      <c r="T48" s="181"/>
      <c r="U48" s="181"/>
      <c r="V48" s="181"/>
      <c r="W48" s="181"/>
      <c r="X48" s="186"/>
      <c r="Y48" s="186"/>
      <c r="Z48" s="181"/>
      <c r="AA48" s="181"/>
    </row>
    <row r="49" spans="1:27" s="175" customFormat="1" ht="11.25" x14ac:dyDescent="0.25">
      <c r="S49" s="181"/>
      <c r="T49" s="181"/>
      <c r="U49" s="181"/>
      <c r="V49" s="181"/>
      <c r="W49" s="181"/>
      <c r="X49" s="186"/>
      <c r="Y49" s="186"/>
      <c r="Z49" s="181"/>
      <c r="AA49" s="181"/>
    </row>
    <row r="50" spans="1:27" s="175" customFormat="1" ht="11.25" x14ac:dyDescent="0.25">
      <c r="A50" s="258"/>
      <c r="B50" s="258"/>
      <c r="C50" s="258"/>
      <c r="D50" s="258"/>
      <c r="E50" s="258"/>
      <c r="F50" s="258"/>
      <c r="G50" s="258"/>
      <c r="H50" s="258"/>
      <c r="I50" s="258"/>
      <c r="S50" s="181"/>
      <c r="T50" s="181"/>
      <c r="U50" s="181"/>
      <c r="V50" s="181"/>
      <c r="W50" s="181"/>
      <c r="X50" s="186"/>
      <c r="Y50" s="186"/>
      <c r="Z50" s="181"/>
      <c r="AA50" s="181"/>
    </row>
    <row r="51" spans="1:27" s="175" customFormat="1" ht="11.25" x14ac:dyDescent="0.25">
      <c r="S51" s="181"/>
      <c r="T51" s="181"/>
      <c r="U51" s="181"/>
      <c r="V51" s="181"/>
      <c r="W51" s="181"/>
      <c r="X51" s="186"/>
      <c r="Y51" s="186"/>
      <c r="Z51" s="181"/>
      <c r="AA51" s="181"/>
    </row>
    <row r="52" spans="1:27" s="175" customFormat="1" ht="11.25" x14ac:dyDescent="0.25">
      <c r="A52" s="176"/>
      <c r="S52" s="181"/>
      <c r="T52" s="181"/>
      <c r="U52" s="181"/>
      <c r="V52" s="181"/>
      <c r="W52" s="181"/>
      <c r="X52" s="186"/>
      <c r="Y52" s="186"/>
      <c r="Z52" s="181"/>
      <c r="AA52" s="181"/>
    </row>
    <row r="53" spans="1:27" s="175" customFormat="1" ht="11.25" x14ac:dyDescent="0.25">
      <c r="A53" s="176"/>
      <c r="S53" s="181"/>
      <c r="T53" s="181"/>
      <c r="U53" s="181"/>
      <c r="V53" s="181"/>
      <c r="W53" s="181"/>
      <c r="X53" s="186"/>
      <c r="Y53" s="186"/>
      <c r="Z53" s="181"/>
      <c r="AA53" s="181"/>
    </row>
    <row r="54" spans="1:27" s="175" customFormat="1" ht="11.25" x14ac:dyDescent="0.25">
      <c r="A54" s="176"/>
      <c r="S54" s="181"/>
      <c r="T54" s="181"/>
      <c r="U54" s="181"/>
      <c r="V54" s="181"/>
      <c r="W54" s="181"/>
      <c r="X54" s="186"/>
      <c r="Y54" s="186"/>
      <c r="Z54" s="181"/>
      <c r="AA54" s="181"/>
    </row>
    <row r="55" spans="1:27" s="175" customFormat="1" ht="11.25" x14ac:dyDescent="0.25">
      <c r="A55" s="176"/>
    </row>
    <row r="56" spans="1:27" s="175" customFormat="1" ht="11.25" x14ac:dyDescent="0.25">
      <c r="A56" s="176"/>
    </row>
    <row r="57" spans="1:27" s="175" customFormat="1" ht="11.25" x14ac:dyDescent="0.25">
      <c r="A57" s="176"/>
    </row>
    <row r="58" spans="1:27" s="175" customFormat="1" ht="11.25" x14ac:dyDescent="0.25">
      <c r="A58" s="176"/>
    </row>
    <row r="59" spans="1:27" s="175" customFormat="1" ht="11.25" x14ac:dyDescent="0.25">
      <c r="C59" s="180"/>
      <c r="D59" s="181"/>
    </row>
    <row r="60" spans="1:27" s="175" customFormat="1" ht="11.25" x14ac:dyDescent="0.25">
      <c r="A60" s="176"/>
      <c r="C60" s="186"/>
      <c r="D60" s="181"/>
    </row>
    <row r="61" spans="1:27" s="175" customFormat="1" ht="11.25" x14ac:dyDescent="0.25">
      <c r="A61" s="176"/>
      <c r="C61" s="186"/>
      <c r="D61" s="181"/>
    </row>
    <row r="62" spans="1:27" s="175" customFormat="1" ht="11.25" x14ac:dyDescent="0.25">
      <c r="A62" s="176"/>
      <c r="C62" s="186"/>
      <c r="D62" s="181"/>
    </row>
    <row r="63" spans="1:27" s="175" customFormat="1" ht="11.25" x14ac:dyDescent="0.25">
      <c r="A63" s="176"/>
      <c r="C63" s="186"/>
      <c r="D63" s="181"/>
    </row>
    <row r="64" spans="1:27" s="175" customFormat="1" ht="11.25" x14ac:dyDescent="0.25">
      <c r="A64" s="176"/>
      <c r="C64" s="186"/>
      <c r="D64" s="181"/>
    </row>
    <row r="65" spans="1:4" s="175" customFormat="1" ht="11.25" x14ac:dyDescent="0.25">
      <c r="A65" s="176"/>
      <c r="C65" s="186"/>
      <c r="D65" s="181"/>
    </row>
    <row r="66" spans="1:4" s="175" customFormat="1" ht="11.25" x14ac:dyDescent="0.25">
      <c r="A66" s="176"/>
      <c r="C66" s="186"/>
      <c r="D66" s="181"/>
    </row>
    <row r="67" spans="1:4" s="175" customFormat="1" ht="11.25" x14ac:dyDescent="0.25"/>
    <row r="68" spans="1:4" s="175" customFormat="1" ht="11.25" x14ac:dyDescent="0.25"/>
    <row r="69" spans="1:4" s="175" customFormat="1" ht="11.25" x14ac:dyDescent="0.25"/>
    <row r="70" spans="1:4" s="175" customFormat="1" ht="11.25" x14ac:dyDescent="0.25"/>
    <row r="71" spans="1:4" s="175" customFormat="1" ht="11.25" x14ac:dyDescent="0.25"/>
    <row r="72" spans="1:4" s="175" customFormat="1" ht="11.25" x14ac:dyDescent="0.25"/>
    <row r="73" spans="1:4" s="175" customFormat="1" ht="11.25" x14ac:dyDescent="0.25"/>
    <row r="74" spans="1:4" s="175" customFormat="1" ht="11.25" x14ac:dyDescent="0.25"/>
    <row r="75" spans="1:4" s="175" customFormat="1" ht="11.25" x14ac:dyDescent="0.25"/>
    <row r="76" spans="1:4" s="175" customFormat="1" ht="11.25" x14ac:dyDescent="0.25"/>
    <row r="77" spans="1:4" s="175" customFormat="1" ht="11.25" x14ac:dyDescent="0.25"/>
    <row r="78" spans="1:4" s="175" customFormat="1" ht="11.25" x14ac:dyDescent="0.25"/>
    <row r="79" spans="1:4" s="175" customFormat="1" ht="11.25" x14ac:dyDescent="0.25"/>
    <row r="80" spans="1:4" s="175" customFormat="1" ht="11.25" x14ac:dyDescent="0.25"/>
    <row r="81" s="175" customFormat="1" ht="11.25" x14ac:dyDescent="0.25"/>
  </sheetData>
  <mergeCells count="2">
    <mergeCell ref="S8:T8"/>
    <mergeCell ref="U8:W8"/>
  </mergeCells>
  <pageMargins left="0.5" right="0.5" top="0.5" bottom="0.5" header="0.3" footer="0.3"/>
  <pageSetup fitToHeight="0" orientation="landscape" r:id="rId1"/>
  <headerFooter>
    <oddFooter>&amp;C&amp;P</oddFooter>
  </headerFooter>
  <colBreaks count="1" manualBreakCount="1">
    <brk id="17" max="41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80"/>
  <sheetViews>
    <sheetView showGridLines="0" zoomScale="85" zoomScaleNormal="85" zoomScaleSheetLayoutView="85" workbookViewId="0"/>
  </sheetViews>
  <sheetFormatPr defaultColWidth="9.140625" defaultRowHeight="14.25" x14ac:dyDescent="0.25"/>
  <cols>
    <col min="1" max="1" width="24" style="19" customWidth="1"/>
    <col min="2" max="2" width="24.28515625" style="19" customWidth="1"/>
    <col min="3" max="3" width="9.7109375" style="19" customWidth="1"/>
    <col min="4" max="4" width="11" style="19" customWidth="1"/>
    <col min="5" max="6" width="10.7109375" style="19" customWidth="1"/>
    <col min="7" max="7" width="12.7109375" style="19" bestFit="1" customWidth="1"/>
    <col min="8" max="8" width="11.28515625" style="19" customWidth="1"/>
    <col min="9" max="9" width="10.7109375" style="19" customWidth="1"/>
    <col min="10" max="10" width="1.7109375" style="19" customWidth="1"/>
    <col min="11" max="16384" width="9.140625" style="19"/>
  </cols>
  <sheetData>
    <row r="1" spans="1:10" s="117" customFormat="1" ht="18" customHeight="1" x14ac:dyDescent="0.25">
      <c r="A1" s="3" t="s">
        <v>219</v>
      </c>
      <c r="B1" s="119"/>
      <c r="C1" s="119"/>
      <c r="D1" s="119"/>
      <c r="E1" s="119"/>
      <c r="F1" s="119"/>
      <c r="G1" s="119"/>
      <c r="H1" s="21"/>
      <c r="I1" s="21" t="s">
        <v>2</v>
      </c>
    </row>
    <row r="2" spans="1:10" s="117" customFormat="1" ht="15.95" customHeight="1" thickBot="1" x14ac:dyDescent="0.3">
      <c r="A2" s="4" t="s">
        <v>284</v>
      </c>
      <c r="B2" s="120"/>
      <c r="C2" s="120"/>
      <c r="D2" s="120"/>
      <c r="E2" s="120"/>
      <c r="F2" s="120"/>
      <c r="G2" s="120"/>
      <c r="H2" s="22"/>
      <c r="I2" s="22" t="s">
        <v>215</v>
      </c>
    </row>
    <row r="3" spans="1:10" s="175" customFormat="1" ht="12.75" customHeight="1" x14ac:dyDescent="0.25"/>
    <row r="4" spans="1:10" s="175" customFormat="1" ht="12.75" customHeight="1" x14ac:dyDescent="0.25">
      <c r="A4" s="176"/>
      <c r="B4" s="176"/>
      <c r="C4" s="177"/>
      <c r="D4" s="177"/>
      <c r="E4" s="177"/>
      <c r="F4" s="177"/>
      <c r="G4" s="177"/>
      <c r="H4" s="177"/>
      <c r="I4" s="177"/>
      <c r="J4" s="177"/>
    </row>
    <row r="5" spans="1:10" s="175" customFormat="1" ht="12.75" customHeight="1" x14ac:dyDescent="0.25">
      <c r="C5" s="177"/>
      <c r="D5" s="177"/>
      <c r="E5" s="177"/>
      <c r="F5" s="177"/>
      <c r="G5" s="177"/>
      <c r="H5" s="177"/>
      <c r="I5" s="177"/>
      <c r="J5" s="177"/>
    </row>
    <row r="6" spans="1:10" s="175" customFormat="1" ht="11.25" x14ac:dyDescent="0.25"/>
    <row r="7" spans="1:10" s="175" customFormat="1" ht="11.25" x14ac:dyDescent="0.25"/>
    <row r="8" spans="1:10" s="175" customFormat="1" ht="12.75" customHeight="1" x14ac:dyDescent="0.25">
      <c r="B8" s="179"/>
      <c r="C8" s="179"/>
      <c r="D8" s="208" t="s">
        <v>293</v>
      </c>
      <c r="E8" s="208" t="s">
        <v>260</v>
      </c>
      <c r="F8" s="208" t="s">
        <v>260</v>
      </c>
      <c r="G8" s="178" t="s">
        <v>172</v>
      </c>
      <c r="H8" s="210"/>
      <c r="I8" s="179" t="s">
        <v>66</v>
      </c>
    </row>
    <row r="9" spans="1:10" s="175" customFormat="1" ht="12.75" customHeight="1" x14ac:dyDescent="0.25">
      <c r="A9" s="178" t="s">
        <v>147</v>
      </c>
      <c r="B9" s="178" t="s">
        <v>258</v>
      </c>
      <c r="C9" s="178" t="s">
        <v>259</v>
      </c>
      <c r="D9" s="178" t="s">
        <v>155</v>
      </c>
      <c r="E9" s="178" t="s">
        <v>66</v>
      </c>
      <c r="F9" s="178" t="s">
        <v>233</v>
      </c>
      <c r="G9" s="178" t="s">
        <v>261</v>
      </c>
      <c r="H9" s="209" t="s">
        <v>262</v>
      </c>
      <c r="I9" s="209" t="s">
        <v>283</v>
      </c>
    </row>
    <row r="10" spans="1:10" s="175" customFormat="1" ht="5.0999999999999996" customHeight="1" x14ac:dyDescent="0.25"/>
    <row r="11" spans="1:10" s="175" customFormat="1" ht="11.25" x14ac:dyDescent="0.25">
      <c r="A11" s="176" t="s">
        <v>264</v>
      </c>
      <c r="B11" s="212" t="s">
        <v>238</v>
      </c>
      <c r="C11" s="252">
        <v>42464</v>
      </c>
      <c r="D11" s="337">
        <v>2289.7060000000001</v>
      </c>
      <c r="E11" s="334">
        <v>195.87547905830823</v>
      </c>
      <c r="F11" s="334">
        <v>1529.5840000000001</v>
      </c>
      <c r="G11" s="184">
        <f t="shared" ref="G11:G18" si="0">D11/E11</f>
        <v>11.6896</v>
      </c>
      <c r="H11" s="184">
        <f t="shared" ref="H11:H18" si="1">D11/F11</f>
        <v>1.4969468822895637</v>
      </c>
      <c r="I11" s="204">
        <f>E11/F11</f>
        <v>0.12805800731330103</v>
      </c>
    </row>
    <row r="12" spans="1:10" s="175" customFormat="1" ht="11.25" x14ac:dyDescent="0.25">
      <c r="A12" s="176" t="s">
        <v>412</v>
      </c>
      <c r="B12" s="212" t="s">
        <v>413</v>
      </c>
      <c r="C12" s="252">
        <v>41548</v>
      </c>
      <c r="D12" s="335">
        <v>145</v>
      </c>
      <c r="E12" s="335">
        <v>15.425531914893616</v>
      </c>
      <c r="F12" s="335">
        <v>185.89743589743588</v>
      </c>
      <c r="G12" s="184">
        <f t="shared" si="0"/>
        <v>9.4</v>
      </c>
      <c r="H12" s="184">
        <f t="shared" si="1"/>
        <v>0.78</v>
      </c>
      <c r="I12" s="204">
        <f t="shared" ref="I12:I18" si="2">E12/F12</f>
        <v>8.2978723404255328E-2</v>
      </c>
    </row>
    <row r="13" spans="1:10" s="175" customFormat="1" ht="11.25" x14ac:dyDescent="0.25">
      <c r="A13" s="176" t="s">
        <v>263</v>
      </c>
      <c r="B13" s="212" t="s">
        <v>414</v>
      </c>
      <c r="C13" s="252">
        <v>41318</v>
      </c>
      <c r="D13" s="335">
        <v>4905.0820000000003</v>
      </c>
      <c r="E13" s="335">
        <v>943.28500000000008</v>
      </c>
      <c r="F13" s="335">
        <v>7213.3558823529411</v>
      </c>
      <c r="G13" s="184">
        <f t="shared" si="0"/>
        <v>5.2</v>
      </c>
      <c r="H13" s="184">
        <f t="shared" si="1"/>
        <v>0.68</v>
      </c>
      <c r="I13" s="204">
        <f t="shared" si="2"/>
        <v>0.13076923076923078</v>
      </c>
    </row>
    <row r="14" spans="1:10" s="175" customFormat="1" ht="11.25" x14ac:dyDescent="0.25">
      <c r="A14" s="176" t="s">
        <v>265</v>
      </c>
      <c r="B14" s="212" t="s">
        <v>240</v>
      </c>
      <c r="C14" s="252">
        <v>40448</v>
      </c>
      <c r="D14" s="335">
        <v>3400</v>
      </c>
      <c r="E14" s="335">
        <v>459.45945945945942</v>
      </c>
      <c r="F14" s="335">
        <v>2595.419847328244</v>
      </c>
      <c r="G14" s="184">
        <f t="shared" si="0"/>
        <v>7.4</v>
      </c>
      <c r="H14" s="184">
        <f t="shared" si="1"/>
        <v>1.31</v>
      </c>
      <c r="I14" s="204">
        <f>E14/F14</f>
        <v>0.17702702702702702</v>
      </c>
    </row>
    <row r="15" spans="1:10" s="175" customFormat="1" ht="11.25" x14ac:dyDescent="0.25">
      <c r="A15" s="175" t="s">
        <v>415</v>
      </c>
      <c r="B15" s="211" t="s">
        <v>416</v>
      </c>
      <c r="C15" s="252">
        <v>40301</v>
      </c>
      <c r="D15" s="335">
        <v>3170</v>
      </c>
      <c r="E15" s="335">
        <v>360.22727272727269</v>
      </c>
      <c r="F15" s="335">
        <v>3170</v>
      </c>
      <c r="G15" s="184">
        <f t="shared" si="0"/>
        <v>8.8000000000000007</v>
      </c>
      <c r="H15" s="184">
        <f t="shared" si="1"/>
        <v>1</v>
      </c>
      <c r="I15" s="204">
        <f>E15/F15</f>
        <v>0.11363636363636362</v>
      </c>
    </row>
    <row r="16" spans="1:10" s="175" customFormat="1" ht="11.25" x14ac:dyDescent="0.25">
      <c r="A16" s="176" t="s">
        <v>287</v>
      </c>
      <c r="B16" s="212" t="s">
        <v>250</v>
      </c>
      <c r="C16" s="252">
        <v>39552</v>
      </c>
      <c r="D16" s="335">
        <v>3100</v>
      </c>
      <c r="E16" s="335">
        <v>516.66666666666663</v>
      </c>
      <c r="F16" s="335">
        <v>3974.3589743589741</v>
      </c>
      <c r="G16" s="184">
        <f t="shared" si="0"/>
        <v>6</v>
      </c>
      <c r="H16" s="184">
        <f t="shared" si="1"/>
        <v>0.78</v>
      </c>
      <c r="I16" s="204">
        <f>E16/F16</f>
        <v>0.13</v>
      </c>
    </row>
    <row r="17" spans="1:9" s="175" customFormat="1" ht="11.25" x14ac:dyDescent="0.25">
      <c r="A17" s="176" t="s">
        <v>417</v>
      </c>
      <c r="B17" s="212" t="s">
        <v>418</v>
      </c>
      <c r="C17" s="252">
        <v>39339</v>
      </c>
      <c r="D17" s="335">
        <v>1248.5999999999999</v>
      </c>
      <c r="E17" s="335">
        <v>126.12121212121211</v>
      </c>
      <c r="F17" s="335">
        <v>1248.5999999999999</v>
      </c>
      <c r="G17" s="184">
        <f t="shared" si="0"/>
        <v>9.9</v>
      </c>
      <c r="H17" s="184">
        <f t="shared" si="1"/>
        <v>1</v>
      </c>
      <c r="I17" s="204">
        <f>E17/F17</f>
        <v>0.10101010101010101</v>
      </c>
    </row>
    <row r="18" spans="1:9" s="175" customFormat="1" ht="11.25" x14ac:dyDescent="0.25">
      <c r="A18" s="176" t="s">
        <v>288</v>
      </c>
      <c r="B18" s="212" t="s">
        <v>419</v>
      </c>
      <c r="C18" s="252">
        <v>39306</v>
      </c>
      <c r="D18" s="335">
        <v>450</v>
      </c>
      <c r="E18" s="335">
        <v>50.561797752808985</v>
      </c>
      <c r="F18" s="335">
        <v>405.40540540540536</v>
      </c>
      <c r="G18" s="184">
        <f t="shared" si="0"/>
        <v>8.9</v>
      </c>
      <c r="H18" s="184">
        <f t="shared" si="1"/>
        <v>1.1100000000000001</v>
      </c>
      <c r="I18" s="204">
        <f t="shared" si="2"/>
        <v>0.12471910112359551</v>
      </c>
    </row>
    <row r="19" spans="1:9" s="175" customFormat="1" ht="5.0999999999999996" customHeight="1" x14ac:dyDescent="0.25">
      <c r="A19" s="176"/>
      <c r="B19" s="186"/>
      <c r="C19" s="181"/>
      <c r="D19" s="187"/>
      <c r="E19" s="187"/>
      <c r="F19" s="187"/>
      <c r="G19" s="187"/>
      <c r="H19" s="187"/>
      <c r="I19" s="187"/>
    </row>
    <row r="20" spans="1:9" s="175" customFormat="1" ht="11.25" x14ac:dyDescent="0.25">
      <c r="A20" s="188" t="s">
        <v>254</v>
      </c>
      <c r="B20" s="190"/>
      <c r="C20" s="191"/>
      <c r="D20" s="257">
        <f t="shared" ref="D20:I20" si="3">AVERAGE(D11:D18)</f>
        <v>2338.5484999999999</v>
      </c>
      <c r="E20" s="257">
        <f t="shared" si="3"/>
        <v>333.45280246257772</v>
      </c>
      <c r="F20" s="257">
        <f t="shared" si="3"/>
        <v>2540.3276931678747</v>
      </c>
      <c r="G20" s="193">
        <f t="shared" si="3"/>
        <v>8.4111999999999991</v>
      </c>
      <c r="H20" s="193">
        <f t="shared" si="3"/>
        <v>1.0196183602861955</v>
      </c>
      <c r="I20" s="205">
        <f t="shared" si="3"/>
        <v>0.12352481928548428</v>
      </c>
    </row>
    <row r="21" spans="1:9" s="175" customFormat="1" ht="11.25" x14ac:dyDescent="0.25">
      <c r="A21" s="188" t="s">
        <v>255</v>
      </c>
      <c r="B21" s="190"/>
      <c r="C21" s="191"/>
      <c r="D21" s="192">
        <f t="shared" ref="D21:I21" si="4">MEDIAN(D11:D18)</f>
        <v>2694.8530000000001</v>
      </c>
      <c r="E21" s="192">
        <f t="shared" si="4"/>
        <v>278.05137589279047</v>
      </c>
      <c r="F21" s="192">
        <f t="shared" si="4"/>
        <v>2062.5019236641219</v>
      </c>
      <c r="G21" s="193">
        <f t="shared" si="4"/>
        <v>8.8500000000000014</v>
      </c>
      <c r="H21" s="193">
        <f t="shared" si="4"/>
        <v>1</v>
      </c>
      <c r="I21" s="205">
        <f t="shared" si="4"/>
        <v>0.12638855421844827</v>
      </c>
    </row>
    <row r="22" spans="1:9" s="175" customFormat="1" ht="11.25" x14ac:dyDescent="0.25">
      <c r="A22" s="176"/>
      <c r="D22" s="187"/>
      <c r="E22" s="187"/>
      <c r="F22" s="187"/>
      <c r="G22" s="187"/>
      <c r="H22" s="187"/>
      <c r="I22" s="187"/>
    </row>
    <row r="23" spans="1:9" s="175" customFormat="1" ht="11.25" x14ac:dyDescent="0.25">
      <c r="A23" s="176"/>
      <c r="D23" s="187"/>
      <c r="E23" s="187"/>
      <c r="F23" s="187"/>
      <c r="G23" s="187"/>
      <c r="H23" s="187"/>
      <c r="I23" s="187"/>
    </row>
    <row r="24" spans="1:9" s="175" customFormat="1" ht="11.25" x14ac:dyDescent="0.25">
      <c r="A24" s="176"/>
      <c r="D24" s="187"/>
      <c r="E24" s="187"/>
      <c r="F24" s="187"/>
      <c r="G24" s="187"/>
      <c r="H24" s="187"/>
      <c r="I24" s="187"/>
    </row>
    <row r="25" spans="1:9" s="175" customFormat="1" ht="11.25" x14ac:dyDescent="0.25">
      <c r="A25" s="176"/>
      <c r="D25" s="187"/>
      <c r="E25" s="187"/>
      <c r="F25" s="187"/>
      <c r="G25" s="187"/>
      <c r="H25" s="187"/>
      <c r="I25" s="187"/>
    </row>
    <row r="26" spans="1:9" s="175" customFormat="1" ht="11.25" x14ac:dyDescent="0.25">
      <c r="A26" s="176"/>
      <c r="D26" s="187"/>
      <c r="E26" s="187"/>
      <c r="F26" s="187"/>
      <c r="G26" s="187"/>
      <c r="H26" s="187"/>
      <c r="I26" s="187"/>
    </row>
    <row r="27" spans="1:9" s="175" customFormat="1" ht="11.25" x14ac:dyDescent="0.25">
      <c r="A27" s="176"/>
      <c r="D27" s="187"/>
      <c r="E27" s="187"/>
      <c r="F27" s="187"/>
      <c r="G27" s="187"/>
      <c r="H27" s="187"/>
      <c r="I27" s="187"/>
    </row>
    <row r="28" spans="1:9" s="175" customFormat="1" ht="11.25" x14ac:dyDescent="0.25">
      <c r="A28" s="176"/>
      <c r="D28" s="187"/>
      <c r="E28" s="187"/>
      <c r="F28" s="187"/>
      <c r="G28" s="187"/>
      <c r="H28" s="187"/>
      <c r="I28" s="187"/>
    </row>
    <row r="29" spans="1:9" s="175" customFormat="1" ht="11.25" x14ac:dyDescent="0.25">
      <c r="A29" s="258"/>
      <c r="D29" s="187"/>
      <c r="E29" s="187"/>
      <c r="F29" s="187"/>
      <c r="G29" s="187"/>
      <c r="H29" s="187"/>
      <c r="I29" s="187"/>
    </row>
    <row r="30" spans="1:9" s="175" customFormat="1" ht="11.25" x14ac:dyDescent="0.25">
      <c r="A30" s="176"/>
      <c r="D30" s="187"/>
      <c r="E30" s="187"/>
      <c r="F30" s="187"/>
      <c r="G30" s="187"/>
      <c r="H30" s="187"/>
      <c r="I30" s="187"/>
    </row>
    <row r="31" spans="1:9" s="175" customFormat="1" ht="11.25" x14ac:dyDescent="0.25">
      <c r="A31" s="176"/>
      <c r="D31" s="187"/>
      <c r="E31" s="187"/>
      <c r="F31" s="187"/>
      <c r="G31" s="187"/>
      <c r="H31" s="187"/>
      <c r="I31" s="187"/>
    </row>
    <row r="32" spans="1:9" s="175" customFormat="1" ht="11.25" x14ac:dyDescent="0.25">
      <c r="A32" s="176"/>
      <c r="D32" s="187"/>
      <c r="E32" s="187"/>
      <c r="F32" s="187"/>
      <c r="G32" s="187"/>
      <c r="H32" s="187"/>
      <c r="I32" s="187"/>
    </row>
    <row r="33" spans="1:9" s="175" customFormat="1" ht="11.25" x14ac:dyDescent="0.25">
      <c r="A33" s="176"/>
      <c r="D33" s="187"/>
      <c r="E33" s="187"/>
      <c r="F33" s="187"/>
      <c r="G33" s="187"/>
      <c r="H33" s="187"/>
      <c r="I33" s="187"/>
    </row>
    <row r="34" spans="1:9" s="175" customFormat="1" ht="11.25" x14ac:dyDescent="0.25">
      <c r="A34" s="176"/>
      <c r="D34" s="187"/>
      <c r="E34" s="187"/>
      <c r="F34" s="187"/>
      <c r="G34" s="187"/>
      <c r="H34" s="187"/>
      <c r="I34" s="187"/>
    </row>
    <row r="35" spans="1:9" s="175" customFormat="1" ht="11.25" x14ac:dyDescent="0.25">
      <c r="A35" s="176"/>
      <c r="D35" s="187"/>
      <c r="E35" s="187"/>
      <c r="F35" s="187"/>
      <c r="G35" s="187"/>
      <c r="H35" s="187"/>
      <c r="I35" s="187"/>
    </row>
    <row r="36" spans="1:9" s="175" customFormat="1" ht="11.25" x14ac:dyDescent="0.25">
      <c r="A36" s="176"/>
      <c r="D36" s="187"/>
      <c r="E36" s="187"/>
      <c r="F36" s="187"/>
      <c r="G36" s="187"/>
      <c r="H36" s="187"/>
      <c r="I36" s="187"/>
    </row>
    <row r="37" spans="1:9" s="175" customFormat="1" ht="11.25" x14ac:dyDescent="0.25">
      <c r="I37" s="204"/>
    </row>
    <row r="38" spans="1:9" s="175" customFormat="1" ht="11.25" x14ac:dyDescent="0.25">
      <c r="A38" s="176"/>
    </row>
    <row r="39" spans="1:9" s="175" customFormat="1" ht="11.25" x14ac:dyDescent="0.25">
      <c r="A39" s="176"/>
    </row>
    <row r="40" spans="1:9" s="175" customFormat="1" ht="11.25" x14ac:dyDescent="0.25">
      <c r="A40" s="176"/>
    </row>
    <row r="41" spans="1:9" s="175" customFormat="1" ht="11.25" x14ac:dyDescent="0.25">
      <c r="A41" s="258"/>
    </row>
    <row r="42" spans="1:9" s="175" customFormat="1" ht="11.25" x14ac:dyDescent="0.25">
      <c r="A42" s="176"/>
    </row>
    <row r="43" spans="1:9" s="175" customFormat="1" ht="11.25" customHeight="1" x14ac:dyDescent="0.25">
      <c r="A43" s="176"/>
      <c r="B43" s="206"/>
    </row>
    <row r="44" spans="1:9" s="175" customFormat="1" ht="11.25" customHeight="1" x14ac:dyDescent="0.25">
      <c r="A44" s="176"/>
      <c r="B44" s="206"/>
    </row>
    <row r="45" spans="1:9" s="175" customFormat="1" ht="11.25" customHeight="1" x14ac:dyDescent="0.25">
      <c r="A45" s="176"/>
      <c r="B45" s="207"/>
      <c r="C45" s="253"/>
    </row>
    <row r="46" spans="1:9" s="175" customFormat="1" ht="11.25" customHeight="1" x14ac:dyDescent="0.25">
      <c r="A46" s="176"/>
      <c r="B46" s="203"/>
    </row>
    <row r="47" spans="1:9" s="175" customFormat="1" ht="11.25" x14ac:dyDescent="0.25">
      <c r="A47" s="258" t="s">
        <v>420</v>
      </c>
    </row>
    <row r="48" spans="1:9" s="175" customFormat="1" ht="11.25" x14ac:dyDescent="0.25">
      <c r="A48" s="176"/>
    </row>
    <row r="49" spans="1:8" s="175" customFormat="1" ht="11.25" x14ac:dyDescent="0.25">
      <c r="A49" s="258"/>
      <c r="B49" s="258"/>
      <c r="C49" s="258"/>
      <c r="D49" s="258"/>
      <c r="E49" s="258"/>
      <c r="F49" s="258"/>
      <c r="G49" s="258"/>
      <c r="H49" s="258"/>
    </row>
    <row r="50" spans="1:8" s="175" customFormat="1" ht="11.25" x14ac:dyDescent="0.25"/>
    <row r="51" spans="1:8" s="175" customFormat="1" ht="11.25" x14ac:dyDescent="0.25">
      <c r="A51" s="176"/>
    </row>
    <row r="52" spans="1:8" s="175" customFormat="1" ht="11.25" x14ac:dyDescent="0.25">
      <c r="A52" s="176"/>
    </row>
    <row r="53" spans="1:8" s="175" customFormat="1" ht="11.25" x14ac:dyDescent="0.25">
      <c r="A53" s="176"/>
    </row>
    <row r="54" spans="1:8" s="175" customFormat="1" ht="11.25" x14ac:dyDescent="0.25">
      <c r="A54" s="176"/>
    </row>
    <row r="55" spans="1:8" s="175" customFormat="1" ht="11.25" x14ac:dyDescent="0.25">
      <c r="A55" s="176"/>
    </row>
    <row r="56" spans="1:8" s="175" customFormat="1" ht="11.25" x14ac:dyDescent="0.25">
      <c r="A56" s="176"/>
    </row>
    <row r="57" spans="1:8" s="175" customFormat="1" ht="11.25" x14ac:dyDescent="0.25">
      <c r="A57" s="176"/>
    </row>
    <row r="58" spans="1:8" s="175" customFormat="1" ht="11.25" x14ac:dyDescent="0.25"/>
    <row r="59" spans="1:8" s="175" customFormat="1" ht="11.25" x14ac:dyDescent="0.25"/>
    <row r="60" spans="1:8" s="175" customFormat="1" ht="11.25" x14ac:dyDescent="0.25"/>
    <row r="61" spans="1:8" s="175" customFormat="1" ht="11.25" x14ac:dyDescent="0.25"/>
    <row r="62" spans="1:8" s="175" customFormat="1" ht="11.25" x14ac:dyDescent="0.25"/>
    <row r="63" spans="1:8" s="175" customFormat="1" ht="11.25" x14ac:dyDescent="0.25"/>
    <row r="64" spans="1:8" s="175" customFormat="1" ht="11.25" x14ac:dyDescent="0.25"/>
    <row r="65" s="175" customFormat="1" ht="11.25" x14ac:dyDescent="0.25"/>
    <row r="66" s="175" customFormat="1" ht="11.25" x14ac:dyDescent="0.25"/>
    <row r="67" s="175" customFormat="1" ht="11.25" x14ac:dyDescent="0.25"/>
    <row r="68" s="175" customFormat="1" ht="11.25" x14ac:dyDescent="0.25"/>
    <row r="69" s="175" customFormat="1" ht="11.25" x14ac:dyDescent="0.25"/>
    <row r="70" s="175" customFormat="1" ht="11.25" x14ac:dyDescent="0.25"/>
    <row r="71" s="175" customFormat="1" ht="11.25" x14ac:dyDescent="0.25"/>
    <row r="72" s="175" customFormat="1" ht="11.25" x14ac:dyDescent="0.25"/>
    <row r="73" s="175" customFormat="1" ht="11.25" x14ac:dyDescent="0.25"/>
    <row r="74" s="175" customFormat="1" ht="11.25" x14ac:dyDescent="0.25"/>
    <row r="75" s="175" customFormat="1" ht="11.25" x14ac:dyDescent="0.25"/>
    <row r="76" s="175" customFormat="1" ht="11.25" x14ac:dyDescent="0.25"/>
    <row r="77" s="175" customFormat="1" ht="11.25" x14ac:dyDescent="0.25"/>
    <row r="78" s="175" customFormat="1" ht="11.25" x14ac:dyDescent="0.25"/>
    <row r="79" s="175" customFormat="1" ht="11.25" x14ac:dyDescent="0.25"/>
    <row r="80" s="175" customFormat="1" ht="11.25" x14ac:dyDescent="0.25"/>
  </sheetData>
  <sortState xmlns:xlrd2="http://schemas.microsoft.com/office/spreadsheetml/2017/richdata2" ref="A11:F18">
    <sortCondition descending="1" ref="C11:C18"/>
  </sortState>
  <pageMargins left="0.5" right="0.5" top="0.5" bottom="0.5" header="0.3" footer="0.3"/>
  <pageSetup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45"/>
  <sheetViews>
    <sheetView showGridLines="0" zoomScale="85" zoomScaleNormal="85" zoomScaleSheetLayoutView="85" workbookViewId="0"/>
  </sheetViews>
  <sheetFormatPr defaultColWidth="8.85546875" defaultRowHeight="12.75" x14ac:dyDescent="0.2"/>
  <cols>
    <col min="1" max="1" width="18.85546875" style="213" customWidth="1"/>
    <col min="2" max="3" width="20.7109375" style="213" customWidth="1"/>
    <col min="4" max="4" width="2.7109375" style="213" customWidth="1"/>
    <col min="5" max="7" width="20.7109375" style="213" customWidth="1"/>
    <col min="8" max="8" width="21.140625" style="213" customWidth="1"/>
    <col min="9" max="13" width="12.7109375" style="213" customWidth="1"/>
    <col min="14" max="14" width="3.28515625" style="213" customWidth="1"/>
    <col min="15" max="15" width="22.140625" style="213" bestFit="1" customWidth="1"/>
    <col min="16" max="16" width="10.28515625" style="213" bestFit="1" customWidth="1"/>
    <col min="17" max="261" width="9.140625" style="213"/>
    <col min="262" max="262" width="26.140625" style="213" customWidth="1"/>
    <col min="263" max="264" width="9.140625" style="213"/>
    <col min="265" max="265" width="25.85546875" style="213" customWidth="1"/>
    <col min="266" max="266" width="9.140625" style="213"/>
    <col min="267" max="267" width="3.28515625" style="213" customWidth="1"/>
    <col min="268" max="268" width="26" style="213" customWidth="1"/>
    <col min="269" max="269" width="11.28515625" style="213" bestFit="1" customWidth="1"/>
    <col min="270" max="270" width="3.28515625" style="213" customWidth="1"/>
    <col min="271" max="271" width="22.140625" style="213" bestFit="1" customWidth="1"/>
    <col min="272" max="272" width="10.28515625" style="213" bestFit="1" customWidth="1"/>
    <col min="273" max="517" width="9.140625" style="213"/>
    <col min="518" max="518" width="26.140625" style="213" customWidth="1"/>
    <col min="519" max="520" width="9.140625" style="213"/>
    <col min="521" max="521" width="25.85546875" style="213" customWidth="1"/>
    <col min="522" max="522" width="9.140625" style="213"/>
    <col min="523" max="523" width="3.28515625" style="213" customWidth="1"/>
    <col min="524" max="524" width="26" style="213" customWidth="1"/>
    <col min="525" max="525" width="11.28515625" style="213" bestFit="1" customWidth="1"/>
    <col min="526" max="526" width="3.28515625" style="213" customWidth="1"/>
    <col min="527" max="527" width="22.140625" style="213" bestFit="1" customWidth="1"/>
    <col min="528" max="528" width="10.28515625" style="213" bestFit="1" customWidth="1"/>
    <col min="529" max="773" width="9.140625" style="213"/>
    <col min="774" max="774" width="26.140625" style="213" customWidth="1"/>
    <col min="775" max="776" width="9.140625" style="213"/>
    <col min="777" max="777" width="25.85546875" style="213" customWidth="1"/>
    <col min="778" max="778" width="9.140625" style="213"/>
    <col min="779" max="779" width="3.28515625" style="213" customWidth="1"/>
    <col min="780" max="780" width="26" style="213" customWidth="1"/>
    <col min="781" max="781" width="11.28515625" style="213" bestFit="1" customWidth="1"/>
    <col min="782" max="782" width="3.28515625" style="213" customWidth="1"/>
    <col min="783" max="783" width="22.140625" style="213" bestFit="1" customWidth="1"/>
    <col min="784" max="784" width="10.28515625" style="213" bestFit="1" customWidth="1"/>
    <col min="785" max="1029" width="9.140625" style="213"/>
    <col min="1030" max="1030" width="26.140625" style="213" customWidth="1"/>
    <col min="1031" max="1032" width="9.140625" style="213"/>
    <col min="1033" max="1033" width="25.85546875" style="213" customWidth="1"/>
    <col min="1034" max="1034" width="9.140625" style="213"/>
    <col min="1035" max="1035" width="3.28515625" style="213" customWidth="1"/>
    <col min="1036" max="1036" width="26" style="213" customWidth="1"/>
    <col min="1037" max="1037" width="11.28515625" style="213" bestFit="1" customWidth="1"/>
    <col min="1038" max="1038" width="3.28515625" style="213" customWidth="1"/>
    <col min="1039" max="1039" width="22.140625" style="213" bestFit="1" customWidth="1"/>
    <col min="1040" max="1040" width="10.28515625" style="213" bestFit="1" customWidth="1"/>
    <col min="1041" max="1285" width="9.140625" style="213"/>
    <col min="1286" max="1286" width="26.140625" style="213" customWidth="1"/>
    <col min="1287" max="1288" width="9.140625" style="213"/>
    <col min="1289" max="1289" width="25.85546875" style="213" customWidth="1"/>
    <col min="1290" max="1290" width="9.140625" style="213"/>
    <col min="1291" max="1291" width="3.28515625" style="213" customWidth="1"/>
    <col min="1292" max="1292" width="26" style="213" customWidth="1"/>
    <col min="1293" max="1293" width="11.28515625" style="213" bestFit="1" customWidth="1"/>
    <col min="1294" max="1294" width="3.28515625" style="213" customWidth="1"/>
    <col min="1295" max="1295" width="22.140625" style="213" bestFit="1" customWidth="1"/>
    <col min="1296" max="1296" width="10.28515625" style="213" bestFit="1" customWidth="1"/>
    <col min="1297" max="1541" width="9.140625" style="213"/>
    <col min="1542" max="1542" width="26.140625" style="213" customWidth="1"/>
    <col min="1543" max="1544" width="9.140625" style="213"/>
    <col min="1545" max="1545" width="25.85546875" style="213" customWidth="1"/>
    <col min="1546" max="1546" width="9.140625" style="213"/>
    <col min="1547" max="1547" width="3.28515625" style="213" customWidth="1"/>
    <col min="1548" max="1548" width="26" style="213" customWidth="1"/>
    <col min="1549" max="1549" width="11.28515625" style="213" bestFit="1" customWidth="1"/>
    <col min="1550" max="1550" width="3.28515625" style="213" customWidth="1"/>
    <col min="1551" max="1551" width="22.140625" style="213" bestFit="1" customWidth="1"/>
    <col min="1552" max="1552" width="10.28515625" style="213" bestFit="1" customWidth="1"/>
    <col min="1553" max="1797" width="9.140625" style="213"/>
    <col min="1798" max="1798" width="26.140625" style="213" customWidth="1"/>
    <col min="1799" max="1800" width="9.140625" style="213"/>
    <col min="1801" max="1801" width="25.85546875" style="213" customWidth="1"/>
    <col min="1802" max="1802" width="9.140625" style="213"/>
    <col min="1803" max="1803" width="3.28515625" style="213" customWidth="1"/>
    <col min="1804" max="1804" width="26" style="213" customWidth="1"/>
    <col min="1805" max="1805" width="11.28515625" style="213" bestFit="1" customWidth="1"/>
    <col min="1806" max="1806" width="3.28515625" style="213" customWidth="1"/>
    <col min="1807" max="1807" width="22.140625" style="213" bestFit="1" customWidth="1"/>
    <col min="1808" max="1808" width="10.28515625" style="213" bestFit="1" customWidth="1"/>
    <col min="1809" max="2053" width="9.140625" style="213"/>
    <col min="2054" max="2054" width="26.140625" style="213" customWidth="1"/>
    <col min="2055" max="2056" width="9.140625" style="213"/>
    <col min="2057" max="2057" width="25.85546875" style="213" customWidth="1"/>
    <col min="2058" max="2058" width="9.140625" style="213"/>
    <col min="2059" max="2059" width="3.28515625" style="213" customWidth="1"/>
    <col min="2060" max="2060" width="26" style="213" customWidth="1"/>
    <col min="2061" max="2061" width="11.28515625" style="213" bestFit="1" customWidth="1"/>
    <col min="2062" max="2062" width="3.28515625" style="213" customWidth="1"/>
    <col min="2063" max="2063" width="22.140625" style="213" bestFit="1" customWidth="1"/>
    <col min="2064" max="2064" width="10.28515625" style="213" bestFit="1" customWidth="1"/>
    <col min="2065" max="2309" width="9.140625" style="213"/>
    <col min="2310" max="2310" width="26.140625" style="213" customWidth="1"/>
    <col min="2311" max="2312" width="9.140625" style="213"/>
    <col min="2313" max="2313" width="25.85546875" style="213" customWidth="1"/>
    <col min="2314" max="2314" width="9.140625" style="213"/>
    <col min="2315" max="2315" width="3.28515625" style="213" customWidth="1"/>
    <col min="2316" max="2316" width="26" style="213" customWidth="1"/>
    <col min="2317" max="2317" width="11.28515625" style="213" bestFit="1" customWidth="1"/>
    <col min="2318" max="2318" width="3.28515625" style="213" customWidth="1"/>
    <col min="2319" max="2319" width="22.140625" style="213" bestFit="1" customWidth="1"/>
    <col min="2320" max="2320" width="10.28515625" style="213" bestFit="1" customWidth="1"/>
    <col min="2321" max="2565" width="9.140625" style="213"/>
    <col min="2566" max="2566" width="26.140625" style="213" customWidth="1"/>
    <col min="2567" max="2568" width="9.140625" style="213"/>
    <col min="2569" max="2569" width="25.85546875" style="213" customWidth="1"/>
    <col min="2570" max="2570" width="9.140625" style="213"/>
    <col min="2571" max="2571" width="3.28515625" style="213" customWidth="1"/>
    <col min="2572" max="2572" width="26" style="213" customWidth="1"/>
    <col min="2573" max="2573" width="11.28515625" style="213" bestFit="1" customWidth="1"/>
    <col min="2574" max="2574" width="3.28515625" style="213" customWidth="1"/>
    <col min="2575" max="2575" width="22.140625" style="213" bestFit="1" customWidth="1"/>
    <col min="2576" max="2576" width="10.28515625" style="213" bestFit="1" customWidth="1"/>
    <col min="2577" max="2821" width="9.140625" style="213"/>
    <col min="2822" max="2822" width="26.140625" style="213" customWidth="1"/>
    <col min="2823" max="2824" width="9.140625" style="213"/>
    <col min="2825" max="2825" width="25.85546875" style="213" customWidth="1"/>
    <col min="2826" max="2826" width="9.140625" style="213"/>
    <col min="2827" max="2827" width="3.28515625" style="213" customWidth="1"/>
    <col min="2828" max="2828" width="26" style="213" customWidth="1"/>
    <col min="2829" max="2829" width="11.28515625" style="213" bestFit="1" customWidth="1"/>
    <col min="2830" max="2830" width="3.28515625" style="213" customWidth="1"/>
    <col min="2831" max="2831" width="22.140625" style="213" bestFit="1" customWidth="1"/>
    <col min="2832" max="2832" width="10.28515625" style="213" bestFit="1" customWidth="1"/>
    <col min="2833" max="3077" width="9.140625" style="213"/>
    <col min="3078" max="3078" width="26.140625" style="213" customWidth="1"/>
    <col min="3079" max="3080" width="9.140625" style="213"/>
    <col min="3081" max="3081" width="25.85546875" style="213" customWidth="1"/>
    <col min="3082" max="3082" width="9.140625" style="213"/>
    <col min="3083" max="3083" width="3.28515625" style="213" customWidth="1"/>
    <col min="3084" max="3084" width="26" style="213" customWidth="1"/>
    <col min="3085" max="3085" width="11.28515625" style="213" bestFit="1" customWidth="1"/>
    <col min="3086" max="3086" width="3.28515625" style="213" customWidth="1"/>
    <col min="3087" max="3087" width="22.140625" style="213" bestFit="1" customWidth="1"/>
    <col min="3088" max="3088" width="10.28515625" style="213" bestFit="1" customWidth="1"/>
    <col min="3089" max="3333" width="9.140625" style="213"/>
    <col min="3334" max="3334" width="26.140625" style="213" customWidth="1"/>
    <col min="3335" max="3336" width="9.140625" style="213"/>
    <col min="3337" max="3337" width="25.85546875" style="213" customWidth="1"/>
    <col min="3338" max="3338" width="9.140625" style="213"/>
    <col min="3339" max="3339" width="3.28515625" style="213" customWidth="1"/>
    <col min="3340" max="3340" width="26" style="213" customWidth="1"/>
    <col min="3341" max="3341" width="11.28515625" style="213" bestFit="1" customWidth="1"/>
    <col min="3342" max="3342" width="3.28515625" style="213" customWidth="1"/>
    <col min="3343" max="3343" width="22.140625" style="213" bestFit="1" customWidth="1"/>
    <col min="3344" max="3344" width="10.28515625" style="213" bestFit="1" customWidth="1"/>
    <col min="3345" max="3589" width="9.140625" style="213"/>
    <col min="3590" max="3590" width="26.140625" style="213" customWidth="1"/>
    <col min="3591" max="3592" width="9.140625" style="213"/>
    <col min="3593" max="3593" width="25.85546875" style="213" customWidth="1"/>
    <col min="3594" max="3594" width="9.140625" style="213"/>
    <col min="3595" max="3595" width="3.28515625" style="213" customWidth="1"/>
    <col min="3596" max="3596" width="26" style="213" customWidth="1"/>
    <col min="3597" max="3597" width="11.28515625" style="213" bestFit="1" customWidth="1"/>
    <col min="3598" max="3598" width="3.28515625" style="213" customWidth="1"/>
    <col min="3599" max="3599" width="22.140625" style="213" bestFit="1" customWidth="1"/>
    <col min="3600" max="3600" width="10.28515625" style="213" bestFit="1" customWidth="1"/>
    <col min="3601" max="3845" width="9.140625" style="213"/>
    <col min="3846" max="3846" width="26.140625" style="213" customWidth="1"/>
    <col min="3847" max="3848" width="9.140625" style="213"/>
    <col min="3849" max="3849" width="25.85546875" style="213" customWidth="1"/>
    <col min="3850" max="3850" width="9.140625" style="213"/>
    <col min="3851" max="3851" width="3.28515625" style="213" customWidth="1"/>
    <col min="3852" max="3852" width="26" style="213" customWidth="1"/>
    <col min="3853" max="3853" width="11.28515625" style="213" bestFit="1" customWidth="1"/>
    <col min="3854" max="3854" width="3.28515625" style="213" customWidth="1"/>
    <col min="3855" max="3855" width="22.140625" style="213" bestFit="1" customWidth="1"/>
    <col min="3856" max="3856" width="10.28515625" style="213" bestFit="1" customWidth="1"/>
    <col min="3857" max="4101" width="9.140625" style="213"/>
    <col min="4102" max="4102" width="26.140625" style="213" customWidth="1"/>
    <col min="4103" max="4104" width="9.140625" style="213"/>
    <col min="4105" max="4105" width="25.85546875" style="213" customWidth="1"/>
    <col min="4106" max="4106" width="9.140625" style="213"/>
    <col min="4107" max="4107" width="3.28515625" style="213" customWidth="1"/>
    <col min="4108" max="4108" width="26" style="213" customWidth="1"/>
    <col min="4109" max="4109" width="11.28515625" style="213" bestFit="1" customWidth="1"/>
    <col min="4110" max="4110" width="3.28515625" style="213" customWidth="1"/>
    <col min="4111" max="4111" width="22.140625" style="213" bestFit="1" customWidth="1"/>
    <col min="4112" max="4112" width="10.28515625" style="213" bestFit="1" customWidth="1"/>
    <col min="4113" max="4357" width="9.140625" style="213"/>
    <col min="4358" max="4358" width="26.140625" style="213" customWidth="1"/>
    <col min="4359" max="4360" width="9.140625" style="213"/>
    <col min="4361" max="4361" width="25.85546875" style="213" customWidth="1"/>
    <col min="4362" max="4362" width="9.140625" style="213"/>
    <col min="4363" max="4363" width="3.28515625" style="213" customWidth="1"/>
    <col min="4364" max="4364" width="26" style="213" customWidth="1"/>
    <col min="4365" max="4365" width="11.28515625" style="213" bestFit="1" customWidth="1"/>
    <col min="4366" max="4366" width="3.28515625" style="213" customWidth="1"/>
    <col min="4367" max="4367" width="22.140625" style="213" bestFit="1" customWidth="1"/>
    <col min="4368" max="4368" width="10.28515625" style="213" bestFit="1" customWidth="1"/>
    <col min="4369" max="4613" width="9.140625" style="213"/>
    <col min="4614" max="4614" width="26.140625" style="213" customWidth="1"/>
    <col min="4615" max="4616" width="9.140625" style="213"/>
    <col min="4617" max="4617" width="25.85546875" style="213" customWidth="1"/>
    <col min="4618" max="4618" width="9.140625" style="213"/>
    <col min="4619" max="4619" width="3.28515625" style="213" customWidth="1"/>
    <col min="4620" max="4620" width="26" style="213" customWidth="1"/>
    <col min="4621" max="4621" width="11.28515625" style="213" bestFit="1" customWidth="1"/>
    <col min="4622" max="4622" width="3.28515625" style="213" customWidth="1"/>
    <col min="4623" max="4623" width="22.140625" style="213" bestFit="1" customWidth="1"/>
    <col min="4624" max="4624" width="10.28515625" style="213" bestFit="1" customWidth="1"/>
    <col min="4625" max="4869" width="9.140625" style="213"/>
    <col min="4870" max="4870" width="26.140625" style="213" customWidth="1"/>
    <col min="4871" max="4872" width="9.140625" style="213"/>
    <col min="4873" max="4873" width="25.85546875" style="213" customWidth="1"/>
    <col min="4874" max="4874" width="9.140625" style="213"/>
    <col min="4875" max="4875" width="3.28515625" style="213" customWidth="1"/>
    <col min="4876" max="4876" width="26" style="213" customWidth="1"/>
    <col min="4877" max="4877" width="11.28515625" style="213" bestFit="1" customWidth="1"/>
    <col min="4878" max="4878" width="3.28515625" style="213" customWidth="1"/>
    <col min="4879" max="4879" width="22.140625" style="213" bestFit="1" customWidth="1"/>
    <col min="4880" max="4880" width="10.28515625" style="213" bestFit="1" customWidth="1"/>
    <col min="4881" max="5125" width="9.140625" style="213"/>
    <col min="5126" max="5126" width="26.140625" style="213" customWidth="1"/>
    <col min="5127" max="5128" width="9.140625" style="213"/>
    <col min="5129" max="5129" width="25.85546875" style="213" customWidth="1"/>
    <col min="5130" max="5130" width="9.140625" style="213"/>
    <col min="5131" max="5131" width="3.28515625" style="213" customWidth="1"/>
    <col min="5132" max="5132" width="26" style="213" customWidth="1"/>
    <col min="5133" max="5133" width="11.28515625" style="213" bestFit="1" customWidth="1"/>
    <col min="5134" max="5134" width="3.28515625" style="213" customWidth="1"/>
    <col min="5135" max="5135" width="22.140625" style="213" bestFit="1" customWidth="1"/>
    <col min="5136" max="5136" width="10.28515625" style="213" bestFit="1" customWidth="1"/>
    <col min="5137" max="5381" width="9.140625" style="213"/>
    <col min="5382" max="5382" width="26.140625" style="213" customWidth="1"/>
    <col min="5383" max="5384" width="9.140625" style="213"/>
    <col min="5385" max="5385" width="25.85546875" style="213" customWidth="1"/>
    <col min="5386" max="5386" width="9.140625" style="213"/>
    <col min="5387" max="5387" width="3.28515625" style="213" customWidth="1"/>
    <col min="5388" max="5388" width="26" style="213" customWidth="1"/>
    <col min="5389" max="5389" width="11.28515625" style="213" bestFit="1" customWidth="1"/>
    <col min="5390" max="5390" width="3.28515625" style="213" customWidth="1"/>
    <col min="5391" max="5391" width="22.140625" style="213" bestFit="1" customWidth="1"/>
    <col min="5392" max="5392" width="10.28515625" style="213" bestFit="1" customWidth="1"/>
    <col min="5393" max="5637" width="9.140625" style="213"/>
    <col min="5638" max="5638" width="26.140625" style="213" customWidth="1"/>
    <col min="5639" max="5640" width="9.140625" style="213"/>
    <col min="5641" max="5641" width="25.85546875" style="213" customWidth="1"/>
    <col min="5642" max="5642" width="9.140625" style="213"/>
    <col min="5643" max="5643" width="3.28515625" style="213" customWidth="1"/>
    <col min="5644" max="5644" width="26" style="213" customWidth="1"/>
    <col min="5645" max="5645" width="11.28515625" style="213" bestFit="1" customWidth="1"/>
    <col min="5646" max="5646" width="3.28515625" style="213" customWidth="1"/>
    <col min="5647" max="5647" width="22.140625" style="213" bestFit="1" customWidth="1"/>
    <col min="5648" max="5648" width="10.28515625" style="213" bestFit="1" customWidth="1"/>
    <col min="5649" max="5893" width="9.140625" style="213"/>
    <col min="5894" max="5894" width="26.140625" style="213" customWidth="1"/>
    <col min="5895" max="5896" width="9.140625" style="213"/>
    <col min="5897" max="5897" width="25.85546875" style="213" customWidth="1"/>
    <col min="5898" max="5898" width="9.140625" style="213"/>
    <col min="5899" max="5899" width="3.28515625" style="213" customWidth="1"/>
    <col min="5900" max="5900" width="26" style="213" customWidth="1"/>
    <col min="5901" max="5901" width="11.28515625" style="213" bestFit="1" customWidth="1"/>
    <col min="5902" max="5902" width="3.28515625" style="213" customWidth="1"/>
    <col min="5903" max="5903" width="22.140625" style="213" bestFit="1" customWidth="1"/>
    <col min="5904" max="5904" width="10.28515625" style="213" bestFit="1" customWidth="1"/>
    <col min="5905" max="6149" width="9.140625" style="213"/>
    <col min="6150" max="6150" width="26.140625" style="213" customWidth="1"/>
    <col min="6151" max="6152" width="9.140625" style="213"/>
    <col min="6153" max="6153" width="25.85546875" style="213" customWidth="1"/>
    <col min="6154" max="6154" width="9.140625" style="213"/>
    <col min="6155" max="6155" width="3.28515625" style="213" customWidth="1"/>
    <col min="6156" max="6156" width="26" style="213" customWidth="1"/>
    <col min="6157" max="6157" width="11.28515625" style="213" bestFit="1" customWidth="1"/>
    <col min="6158" max="6158" width="3.28515625" style="213" customWidth="1"/>
    <col min="6159" max="6159" width="22.140625" style="213" bestFit="1" customWidth="1"/>
    <col min="6160" max="6160" width="10.28515625" style="213" bestFit="1" customWidth="1"/>
    <col min="6161" max="6405" width="9.140625" style="213"/>
    <col min="6406" max="6406" width="26.140625" style="213" customWidth="1"/>
    <col min="6407" max="6408" width="9.140625" style="213"/>
    <col min="6409" max="6409" width="25.85546875" style="213" customWidth="1"/>
    <col min="6410" max="6410" width="9.140625" style="213"/>
    <col min="6411" max="6411" width="3.28515625" style="213" customWidth="1"/>
    <col min="6412" max="6412" width="26" style="213" customWidth="1"/>
    <col min="6413" max="6413" width="11.28515625" style="213" bestFit="1" customWidth="1"/>
    <col min="6414" max="6414" width="3.28515625" style="213" customWidth="1"/>
    <col min="6415" max="6415" width="22.140625" style="213" bestFit="1" customWidth="1"/>
    <col min="6416" max="6416" width="10.28515625" style="213" bestFit="1" customWidth="1"/>
    <col min="6417" max="6661" width="9.140625" style="213"/>
    <col min="6662" max="6662" width="26.140625" style="213" customWidth="1"/>
    <col min="6663" max="6664" width="9.140625" style="213"/>
    <col min="6665" max="6665" width="25.85546875" style="213" customWidth="1"/>
    <col min="6666" max="6666" width="9.140625" style="213"/>
    <col min="6667" max="6667" width="3.28515625" style="213" customWidth="1"/>
    <col min="6668" max="6668" width="26" style="213" customWidth="1"/>
    <col min="6669" max="6669" width="11.28515625" style="213" bestFit="1" customWidth="1"/>
    <col min="6670" max="6670" width="3.28515625" style="213" customWidth="1"/>
    <col min="6671" max="6671" width="22.140625" style="213" bestFit="1" customWidth="1"/>
    <col min="6672" max="6672" width="10.28515625" style="213" bestFit="1" customWidth="1"/>
    <col min="6673" max="6917" width="9.140625" style="213"/>
    <col min="6918" max="6918" width="26.140625" style="213" customWidth="1"/>
    <col min="6919" max="6920" width="9.140625" style="213"/>
    <col min="6921" max="6921" width="25.85546875" style="213" customWidth="1"/>
    <col min="6922" max="6922" width="9.140625" style="213"/>
    <col min="6923" max="6923" width="3.28515625" style="213" customWidth="1"/>
    <col min="6924" max="6924" width="26" style="213" customWidth="1"/>
    <col min="6925" max="6925" width="11.28515625" style="213" bestFit="1" customWidth="1"/>
    <col min="6926" max="6926" width="3.28515625" style="213" customWidth="1"/>
    <col min="6927" max="6927" width="22.140625" style="213" bestFit="1" customWidth="1"/>
    <col min="6928" max="6928" width="10.28515625" style="213" bestFit="1" customWidth="1"/>
    <col min="6929" max="7173" width="9.140625" style="213"/>
    <col min="7174" max="7174" width="26.140625" style="213" customWidth="1"/>
    <col min="7175" max="7176" width="9.140625" style="213"/>
    <col min="7177" max="7177" width="25.85546875" style="213" customWidth="1"/>
    <col min="7178" max="7178" width="9.140625" style="213"/>
    <col min="7179" max="7179" width="3.28515625" style="213" customWidth="1"/>
    <col min="7180" max="7180" width="26" style="213" customWidth="1"/>
    <col min="7181" max="7181" width="11.28515625" style="213" bestFit="1" customWidth="1"/>
    <col min="7182" max="7182" width="3.28515625" style="213" customWidth="1"/>
    <col min="7183" max="7183" width="22.140625" style="213" bestFit="1" customWidth="1"/>
    <col min="7184" max="7184" width="10.28515625" style="213" bestFit="1" customWidth="1"/>
    <col min="7185" max="7429" width="9.140625" style="213"/>
    <col min="7430" max="7430" width="26.140625" style="213" customWidth="1"/>
    <col min="7431" max="7432" width="9.140625" style="213"/>
    <col min="7433" max="7433" width="25.85546875" style="213" customWidth="1"/>
    <col min="7434" max="7434" width="9.140625" style="213"/>
    <col min="7435" max="7435" width="3.28515625" style="213" customWidth="1"/>
    <col min="7436" max="7436" width="26" style="213" customWidth="1"/>
    <col min="7437" max="7437" width="11.28515625" style="213" bestFit="1" customWidth="1"/>
    <col min="7438" max="7438" width="3.28515625" style="213" customWidth="1"/>
    <col min="7439" max="7439" width="22.140625" style="213" bestFit="1" customWidth="1"/>
    <col min="7440" max="7440" width="10.28515625" style="213" bestFit="1" customWidth="1"/>
    <col min="7441" max="7685" width="9.140625" style="213"/>
    <col min="7686" max="7686" width="26.140625" style="213" customWidth="1"/>
    <col min="7687" max="7688" width="9.140625" style="213"/>
    <col min="7689" max="7689" width="25.85546875" style="213" customWidth="1"/>
    <col min="7690" max="7690" width="9.140625" style="213"/>
    <col min="7691" max="7691" width="3.28515625" style="213" customWidth="1"/>
    <col min="7692" max="7692" width="26" style="213" customWidth="1"/>
    <col min="7693" max="7693" width="11.28515625" style="213" bestFit="1" customWidth="1"/>
    <col min="7694" max="7694" width="3.28515625" style="213" customWidth="1"/>
    <col min="7695" max="7695" width="22.140625" style="213" bestFit="1" customWidth="1"/>
    <col min="7696" max="7696" width="10.28515625" style="213" bestFit="1" customWidth="1"/>
    <col min="7697" max="7941" width="9.140625" style="213"/>
    <col min="7942" max="7942" width="26.140625" style="213" customWidth="1"/>
    <col min="7943" max="7944" width="9.140625" style="213"/>
    <col min="7945" max="7945" width="25.85546875" style="213" customWidth="1"/>
    <col min="7946" max="7946" width="9.140625" style="213"/>
    <col min="7947" max="7947" width="3.28515625" style="213" customWidth="1"/>
    <col min="7948" max="7948" width="26" style="213" customWidth="1"/>
    <col min="7949" max="7949" width="11.28515625" style="213" bestFit="1" customWidth="1"/>
    <col min="7950" max="7950" width="3.28515625" style="213" customWidth="1"/>
    <col min="7951" max="7951" width="22.140625" style="213" bestFit="1" customWidth="1"/>
    <col min="7952" max="7952" width="10.28515625" style="213" bestFit="1" customWidth="1"/>
    <col min="7953" max="8197" width="9.140625" style="213"/>
    <col min="8198" max="8198" width="26.140625" style="213" customWidth="1"/>
    <col min="8199" max="8200" width="9.140625" style="213"/>
    <col min="8201" max="8201" width="25.85546875" style="213" customWidth="1"/>
    <col min="8202" max="8202" width="9.140625" style="213"/>
    <col min="8203" max="8203" width="3.28515625" style="213" customWidth="1"/>
    <col min="8204" max="8204" width="26" style="213" customWidth="1"/>
    <col min="8205" max="8205" width="11.28515625" style="213" bestFit="1" customWidth="1"/>
    <col min="8206" max="8206" width="3.28515625" style="213" customWidth="1"/>
    <col min="8207" max="8207" width="22.140625" style="213" bestFit="1" customWidth="1"/>
    <col min="8208" max="8208" width="10.28515625" style="213" bestFit="1" customWidth="1"/>
    <col min="8209" max="8453" width="9.140625" style="213"/>
    <col min="8454" max="8454" width="26.140625" style="213" customWidth="1"/>
    <col min="8455" max="8456" width="9.140625" style="213"/>
    <col min="8457" max="8457" width="25.85546875" style="213" customWidth="1"/>
    <col min="8458" max="8458" width="9.140625" style="213"/>
    <col min="8459" max="8459" width="3.28515625" style="213" customWidth="1"/>
    <col min="8460" max="8460" width="26" style="213" customWidth="1"/>
    <col min="8461" max="8461" width="11.28515625" style="213" bestFit="1" customWidth="1"/>
    <col min="8462" max="8462" width="3.28515625" style="213" customWidth="1"/>
    <col min="8463" max="8463" width="22.140625" style="213" bestFit="1" customWidth="1"/>
    <col min="8464" max="8464" width="10.28515625" style="213" bestFit="1" customWidth="1"/>
    <col min="8465" max="8709" width="9.140625" style="213"/>
    <col min="8710" max="8710" width="26.140625" style="213" customWidth="1"/>
    <col min="8711" max="8712" width="9.140625" style="213"/>
    <col min="8713" max="8713" width="25.85546875" style="213" customWidth="1"/>
    <col min="8714" max="8714" width="9.140625" style="213"/>
    <col min="8715" max="8715" width="3.28515625" style="213" customWidth="1"/>
    <col min="8716" max="8716" width="26" style="213" customWidth="1"/>
    <col min="8717" max="8717" width="11.28515625" style="213" bestFit="1" customWidth="1"/>
    <col min="8718" max="8718" width="3.28515625" style="213" customWidth="1"/>
    <col min="8719" max="8719" width="22.140625" style="213" bestFit="1" customWidth="1"/>
    <col min="8720" max="8720" width="10.28515625" style="213" bestFit="1" customWidth="1"/>
    <col min="8721" max="8965" width="9.140625" style="213"/>
    <col min="8966" max="8966" width="26.140625" style="213" customWidth="1"/>
    <col min="8967" max="8968" width="9.140625" style="213"/>
    <col min="8969" max="8969" width="25.85546875" style="213" customWidth="1"/>
    <col min="8970" max="8970" width="9.140625" style="213"/>
    <col min="8971" max="8971" width="3.28515625" style="213" customWidth="1"/>
    <col min="8972" max="8972" width="26" style="213" customWidth="1"/>
    <col min="8973" max="8973" width="11.28515625" style="213" bestFit="1" customWidth="1"/>
    <col min="8974" max="8974" width="3.28515625" style="213" customWidth="1"/>
    <col min="8975" max="8975" width="22.140625" style="213" bestFit="1" customWidth="1"/>
    <col min="8976" max="8976" width="10.28515625" style="213" bestFit="1" customWidth="1"/>
    <col min="8977" max="9221" width="9.140625" style="213"/>
    <col min="9222" max="9222" width="26.140625" style="213" customWidth="1"/>
    <col min="9223" max="9224" width="9.140625" style="213"/>
    <col min="9225" max="9225" width="25.85546875" style="213" customWidth="1"/>
    <col min="9226" max="9226" width="9.140625" style="213"/>
    <col min="9227" max="9227" width="3.28515625" style="213" customWidth="1"/>
    <col min="9228" max="9228" width="26" style="213" customWidth="1"/>
    <col min="9229" max="9229" width="11.28515625" style="213" bestFit="1" customWidth="1"/>
    <col min="9230" max="9230" width="3.28515625" style="213" customWidth="1"/>
    <col min="9231" max="9231" width="22.140625" style="213" bestFit="1" customWidth="1"/>
    <col min="9232" max="9232" width="10.28515625" style="213" bestFit="1" customWidth="1"/>
    <col min="9233" max="9477" width="9.140625" style="213"/>
    <col min="9478" max="9478" width="26.140625" style="213" customWidth="1"/>
    <col min="9479" max="9480" width="9.140625" style="213"/>
    <col min="9481" max="9481" width="25.85546875" style="213" customWidth="1"/>
    <col min="9482" max="9482" width="9.140625" style="213"/>
    <col min="9483" max="9483" width="3.28515625" style="213" customWidth="1"/>
    <col min="9484" max="9484" width="26" style="213" customWidth="1"/>
    <col min="9485" max="9485" width="11.28515625" style="213" bestFit="1" customWidth="1"/>
    <col min="9486" max="9486" width="3.28515625" style="213" customWidth="1"/>
    <col min="9487" max="9487" width="22.140625" style="213" bestFit="1" customWidth="1"/>
    <col min="9488" max="9488" width="10.28515625" style="213" bestFit="1" customWidth="1"/>
    <col min="9489" max="9733" width="9.140625" style="213"/>
    <col min="9734" max="9734" width="26.140625" style="213" customWidth="1"/>
    <col min="9735" max="9736" width="9.140625" style="213"/>
    <col min="9737" max="9737" width="25.85546875" style="213" customWidth="1"/>
    <col min="9738" max="9738" width="9.140625" style="213"/>
    <col min="9739" max="9739" width="3.28515625" style="213" customWidth="1"/>
    <col min="9740" max="9740" width="26" style="213" customWidth="1"/>
    <col min="9741" max="9741" width="11.28515625" style="213" bestFit="1" customWidth="1"/>
    <col min="9742" max="9742" width="3.28515625" style="213" customWidth="1"/>
    <col min="9743" max="9743" width="22.140625" style="213" bestFit="1" customWidth="1"/>
    <col min="9744" max="9744" width="10.28515625" style="213" bestFit="1" customWidth="1"/>
    <col min="9745" max="9989" width="9.140625" style="213"/>
    <col min="9990" max="9990" width="26.140625" style="213" customWidth="1"/>
    <col min="9991" max="9992" width="9.140625" style="213"/>
    <col min="9993" max="9993" width="25.85546875" style="213" customWidth="1"/>
    <col min="9994" max="9994" width="9.140625" style="213"/>
    <col min="9995" max="9995" width="3.28515625" style="213" customWidth="1"/>
    <col min="9996" max="9996" width="26" style="213" customWidth="1"/>
    <col min="9997" max="9997" width="11.28515625" style="213" bestFit="1" customWidth="1"/>
    <col min="9998" max="9998" width="3.28515625" style="213" customWidth="1"/>
    <col min="9999" max="9999" width="22.140625" style="213" bestFit="1" customWidth="1"/>
    <col min="10000" max="10000" width="10.28515625" style="213" bestFit="1" customWidth="1"/>
    <col min="10001" max="10245" width="9.140625" style="213"/>
    <col min="10246" max="10246" width="26.140625" style="213" customWidth="1"/>
    <col min="10247" max="10248" width="9.140625" style="213"/>
    <col min="10249" max="10249" width="25.85546875" style="213" customWidth="1"/>
    <col min="10250" max="10250" width="9.140625" style="213"/>
    <col min="10251" max="10251" width="3.28515625" style="213" customWidth="1"/>
    <col min="10252" max="10252" width="26" style="213" customWidth="1"/>
    <col min="10253" max="10253" width="11.28515625" style="213" bestFit="1" customWidth="1"/>
    <col min="10254" max="10254" width="3.28515625" style="213" customWidth="1"/>
    <col min="10255" max="10255" width="22.140625" style="213" bestFit="1" customWidth="1"/>
    <col min="10256" max="10256" width="10.28515625" style="213" bestFit="1" customWidth="1"/>
    <col min="10257" max="10501" width="9.140625" style="213"/>
    <col min="10502" max="10502" width="26.140625" style="213" customWidth="1"/>
    <col min="10503" max="10504" width="9.140625" style="213"/>
    <col min="10505" max="10505" width="25.85546875" style="213" customWidth="1"/>
    <col min="10506" max="10506" width="9.140625" style="213"/>
    <col min="10507" max="10507" width="3.28515625" style="213" customWidth="1"/>
    <col min="10508" max="10508" width="26" style="213" customWidth="1"/>
    <col min="10509" max="10509" width="11.28515625" style="213" bestFit="1" customWidth="1"/>
    <col min="10510" max="10510" width="3.28515625" style="213" customWidth="1"/>
    <col min="10511" max="10511" width="22.140625" style="213" bestFit="1" customWidth="1"/>
    <col min="10512" max="10512" width="10.28515625" style="213" bestFit="1" customWidth="1"/>
    <col min="10513" max="10757" width="9.140625" style="213"/>
    <col min="10758" max="10758" width="26.140625" style="213" customWidth="1"/>
    <col min="10759" max="10760" width="9.140625" style="213"/>
    <col min="10761" max="10761" width="25.85546875" style="213" customWidth="1"/>
    <col min="10762" max="10762" width="9.140625" style="213"/>
    <col min="10763" max="10763" width="3.28515625" style="213" customWidth="1"/>
    <col min="10764" max="10764" width="26" style="213" customWidth="1"/>
    <col min="10765" max="10765" width="11.28515625" style="213" bestFit="1" customWidth="1"/>
    <col min="10766" max="10766" width="3.28515625" style="213" customWidth="1"/>
    <col min="10767" max="10767" width="22.140625" style="213" bestFit="1" customWidth="1"/>
    <col min="10768" max="10768" width="10.28515625" style="213" bestFit="1" customWidth="1"/>
    <col min="10769" max="11013" width="9.140625" style="213"/>
    <col min="11014" max="11014" width="26.140625" style="213" customWidth="1"/>
    <col min="11015" max="11016" width="9.140625" style="213"/>
    <col min="11017" max="11017" width="25.85546875" style="213" customWidth="1"/>
    <col min="11018" max="11018" width="9.140625" style="213"/>
    <col min="11019" max="11019" width="3.28515625" style="213" customWidth="1"/>
    <col min="11020" max="11020" width="26" style="213" customWidth="1"/>
    <col min="11021" max="11021" width="11.28515625" style="213" bestFit="1" customWidth="1"/>
    <col min="11022" max="11022" width="3.28515625" style="213" customWidth="1"/>
    <col min="11023" max="11023" width="22.140625" style="213" bestFit="1" customWidth="1"/>
    <col min="11024" max="11024" width="10.28515625" style="213" bestFit="1" customWidth="1"/>
    <col min="11025" max="11269" width="9.140625" style="213"/>
    <col min="11270" max="11270" width="26.140625" style="213" customWidth="1"/>
    <col min="11271" max="11272" width="9.140625" style="213"/>
    <col min="11273" max="11273" width="25.85546875" style="213" customWidth="1"/>
    <col min="11274" max="11274" width="9.140625" style="213"/>
    <col min="11275" max="11275" width="3.28515625" style="213" customWidth="1"/>
    <col min="11276" max="11276" width="26" style="213" customWidth="1"/>
    <col min="11277" max="11277" width="11.28515625" style="213" bestFit="1" customWidth="1"/>
    <col min="11278" max="11278" width="3.28515625" style="213" customWidth="1"/>
    <col min="11279" max="11279" width="22.140625" style="213" bestFit="1" customWidth="1"/>
    <col min="11280" max="11280" width="10.28515625" style="213" bestFit="1" customWidth="1"/>
    <col min="11281" max="11525" width="9.140625" style="213"/>
    <col min="11526" max="11526" width="26.140625" style="213" customWidth="1"/>
    <col min="11527" max="11528" width="9.140625" style="213"/>
    <col min="11529" max="11529" width="25.85546875" style="213" customWidth="1"/>
    <col min="11530" max="11530" width="9.140625" style="213"/>
    <col min="11531" max="11531" width="3.28515625" style="213" customWidth="1"/>
    <col min="11532" max="11532" width="26" style="213" customWidth="1"/>
    <col min="11533" max="11533" width="11.28515625" style="213" bestFit="1" customWidth="1"/>
    <col min="11534" max="11534" width="3.28515625" style="213" customWidth="1"/>
    <col min="11535" max="11535" width="22.140625" style="213" bestFit="1" customWidth="1"/>
    <col min="11536" max="11536" width="10.28515625" style="213" bestFit="1" customWidth="1"/>
    <col min="11537" max="11781" width="9.140625" style="213"/>
    <col min="11782" max="11782" width="26.140625" style="213" customWidth="1"/>
    <col min="11783" max="11784" width="9.140625" style="213"/>
    <col min="11785" max="11785" width="25.85546875" style="213" customWidth="1"/>
    <col min="11786" max="11786" width="9.140625" style="213"/>
    <col min="11787" max="11787" width="3.28515625" style="213" customWidth="1"/>
    <col min="11788" max="11788" width="26" style="213" customWidth="1"/>
    <col min="11789" max="11789" width="11.28515625" style="213" bestFit="1" customWidth="1"/>
    <col min="11790" max="11790" width="3.28515625" style="213" customWidth="1"/>
    <col min="11791" max="11791" width="22.140625" style="213" bestFit="1" customWidth="1"/>
    <col min="11792" max="11792" width="10.28515625" style="213" bestFit="1" customWidth="1"/>
    <col min="11793" max="12037" width="9.140625" style="213"/>
    <col min="12038" max="12038" width="26.140625" style="213" customWidth="1"/>
    <col min="12039" max="12040" width="9.140625" style="213"/>
    <col min="12041" max="12041" width="25.85546875" style="213" customWidth="1"/>
    <col min="12042" max="12042" width="9.140625" style="213"/>
    <col min="12043" max="12043" width="3.28515625" style="213" customWidth="1"/>
    <col min="12044" max="12044" width="26" style="213" customWidth="1"/>
    <col min="12045" max="12045" width="11.28515625" style="213" bestFit="1" customWidth="1"/>
    <col min="12046" max="12046" width="3.28515625" style="213" customWidth="1"/>
    <col min="12047" max="12047" width="22.140625" style="213" bestFit="1" customWidth="1"/>
    <col min="12048" max="12048" width="10.28515625" style="213" bestFit="1" customWidth="1"/>
    <col min="12049" max="12293" width="9.140625" style="213"/>
    <col min="12294" max="12294" width="26.140625" style="213" customWidth="1"/>
    <col min="12295" max="12296" width="9.140625" style="213"/>
    <col min="12297" max="12297" width="25.85546875" style="213" customWidth="1"/>
    <col min="12298" max="12298" width="9.140625" style="213"/>
    <col min="12299" max="12299" width="3.28515625" style="213" customWidth="1"/>
    <col min="12300" max="12300" width="26" style="213" customWidth="1"/>
    <col min="12301" max="12301" width="11.28515625" style="213" bestFit="1" customWidth="1"/>
    <col min="12302" max="12302" width="3.28515625" style="213" customWidth="1"/>
    <col min="12303" max="12303" width="22.140625" style="213" bestFit="1" customWidth="1"/>
    <col min="12304" max="12304" width="10.28515625" style="213" bestFit="1" customWidth="1"/>
    <col min="12305" max="12549" width="9.140625" style="213"/>
    <col min="12550" max="12550" width="26.140625" style="213" customWidth="1"/>
    <col min="12551" max="12552" width="9.140625" style="213"/>
    <col min="12553" max="12553" width="25.85546875" style="213" customWidth="1"/>
    <col min="12554" max="12554" width="9.140625" style="213"/>
    <col min="12555" max="12555" width="3.28515625" style="213" customWidth="1"/>
    <col min="12556" max="12556" width="26" style="213" customWidth="1"/>
    <col min="12557" max="12557" width="11.28515625" style="213" bestFit="1" customWidth="1"/>
    <col min="12558" max="12558" width="3.28515625" style="213" customWidth="1"/>
    <col min="12559" max="12559" width="22.140625" style="213" bestFit="1" customWidth="1"/>
    <col min="12560" max="12560" width="10.28515625" style="213" bestFit="1" customWidth="1"/>
    <col min="12561" max="12805" width="9.140625" style="213"/>
    <col min="12806" max="12806" width="26.140625" style="213" customWidth="1"/>
    <col min="12807" max="12808" width="9.140625" style="213"/>
    <col min="12809" max="12809" width="25.85546875" style="213" customWidth="1"/>
    <col min="12810" max="12810" width="9.140625" style="213"/>
    <col min="12811" max="12811" width="3.28515625" style="213" customWidth="1"/>
    <col min="12812" max="12812" width="26" style="213" customWidth="1"/>
    <col min="12813" max="12813" width="11.28515625" style="213" bestFit="1" customWidth="1"/>
    <col min="12814" max="12814" width="3.28515625" style="213" customWidth="1"/>
    <col min="12815" max="12815" width="22.140625" style="213" bestFit="1" customWidth="1"/>
    <col min="12816" max="12816" width="10.28515625" style="213" bestFit="1" customWidth="1"/>
    <col min="12817" max="13061" width="9.140625" style="213"/>
    <col min="13062" max="13062" width="26.140625" style="213" customWidth="1"/>
    <col min="13063" max="13064" width="9.140625" style="213"/>
    <col min="13065" max="13065" width="25.85546875" style="213" customWidth="1"/>
    <col min="13066" max="13066" width="9.140625" style="213"/>
    <col min="13067" max="13067" width="3.28515625" style="213" customWidth="1"/>
    <col min="13068" max="13068" width="26" style="213" customWidth="1"/>
    <col min="13069" max="13069" width="11.28515625" style="213" bestFit="1" customWidth="1"/>
    <col min="13070" max="13070" width="3.28515625" style="213" customWidth="1"/>
    <col min="13071" max="13071" width="22.140625" style="213" bestFit="1" customWidth="1"/>
    <col min="13072" max="13072" width="10.28515625" style="213" bestFit="1" customWidth="1"/>
    <col min="13073" max="13317" width="9.140625" style="213"/>
    <col min="13318" max="13318" width="26.140625" style="213" customWidth="1"/>
    <col min="13319" max="13320" width="9.140625" style="213"/>
    <col min="13321" max="13321" width="25.85546875" style="213" customWidth="1"/>
    <col min="13322" max="13322" width="9.140625" style="213"/>
    <col min="13323" max="13323" width="3.28515625" style="213" customWidth="1"/>
    <col min="13324" max="13324" width="26" style="213" customWidth="1"/>
    <col min="13325" max="13325" width="11.28515625" style="213" bestFit="1" customWidth="1"/>
    <col min="13326" max="13326" width="3.28515625" style="213" customWidth="1"/>
    <col min="13327" max="13327" width="22.140625" style="213" bestFit="1" customWidth="1"/>
    <col min="13328" max="13328" width="10.28515625" style="213" bestFit="1" customWidth="1"/>
    <col min="13329" max="13573" width="9.140625" style="213"/>
    <col min="13574" max="13574" width="26.140625" style="213" customWidth="1"/>
    <col min="13575" max="13576" width="9.140625" style="213"/>
    <col min="13577" max="13577" width="25.85546875" style="213" customWidth="1"/>
    <col min="13578" max="13578" width="9.140625" style="213"/>
    <col min="13579" max="13579" width="3.28515625" style="213" customWidth="1"/>
    <col min="13580" max="13580" width="26" style="213" customWidth="1"/>
    <col min="13581" max="13581" width="11.28515625" style="213" bestFit="1" customWidth="1"/>
    <col min="13582" max="13582" width="3.28515625" style="213" customWidth="1"/>
    <col min="13583" max="13583" width="22.140625" style="213" bestFit="1" customWidth="1"/>
    <col min="13584" max="13584" width="10.28515625" style="213" bestFit="1" customWidth="1"/>
    <col min="13585" max="13829" width="9.140625" style="213"/>
    <col min="13830" max="13830" width="26.140625" style="213" customWidth="1"/>
    <col min="13831" max="13832" width="9.140625" style="213"/>
    <col min="13833" max="13833" width="25.85546875" style="213" customWidth="1"/>
    <col min="13834" max="13834" width="9.140625" style="213"/>
    <col min="13835" max="13835" width="3.28515625" style="213" customWidth="1"/>
    <col min="13836" max="13836" width="26" style="213" customWidth="1"/>
    <col min="13837" max="13837" width="11.28515625" style="213" bestFit="1" customWidth="1"/>
    <col min="13838" max="13838" width="3.28515625" style="213" customWidth="1"/>
    <col min="13839" max="13839" width="22.140625" style="213" bestFit="1" customWidth="1"/>
    <col min="13840" max="13840" width="10.28515625" style="213" bestFit="1" customWidth="1"/>
    <col min="13841" max="14085" width="9.140625" style="213"/>
    <col min="14086" max="14086" width="26.140625" style="213" customWidth="1"/>
    <col min="14087" max="14088" width="9.140625" style="213"/>
    <col min="14089" max="14089" width="25.85546875" style="213" customWidth="1"/>
    <col min="14090" max="14090" width="9.140625" style="213"/>
    <col min="14091" max="14091" width="3.28515625" style="213" customWidth="1"/>
    <col min="14092" max="14092" width="26" style="213" customWidth="1"/>
    <col min="14093" max="14093" width="11.28515625" style="213" bestFit="1" customWidth="1"/>
    <col min="14094" max="14094" width="3.28515625" style="213" customWidth="1"/>
    <col min="14095" max="14095" width="22.140625" style="213" bestFit="1" customWidth="1"/>
    <col min="14096" max="14096" width="10.28515625" style="213" bestFit="1" customWidth="1"/>
    <col min="14097" max="14341" width="9.140625" style="213"/>
    <col min="14342" max="14342" width="26.140625" style="213" customWidth="1"/>
    <col min="14343" max="14344" width="9.140625" style="213"/>
    <col min="14345" max="14345" width="25.85546875" style="213" customWidth="1"/>
    <col min="14346" max="14346" width="9.140625" style="213"/>
    <col min="14347" max="14347" width="3.28515625" style="213" customWidth="1"/>
    <col min="14348" max="14348" width="26" style="213" customWidth="1"/>
    <col min="14349" max="14349" width="11.28515625" style="213" bestFit="1" customWidth="1"/>
    <col min="14350" max="14350" width="3.28515625" style="213" customWidth="1"/>
    <col min="14351" max="14351" width="22.140625" style="213" bestFit="1" customWidth="1"/>
    <col min="14352" max="14352" width="10.28515625" style="213" bestFit="1" customWidth="1"/>
    <col min="14353" max="14597" width="9.140625" style="213"/>
    <col min="14598" max="14598" width="26.140625" style="213" customWidth="1"/>
    <col min="14599" max="14600" width="9.140625" style="213"/>
    <col min="14601" max="14601" width="25.85546875" style="213" customWidth="1"/>
    <col min="14602" max="14602" width="9.140625" style="213"/>
    <col min="14603" max="14603" width="3.28515625" style="213" customWidth="1"/>
    <col min="14604" max="14604" width="26" style="213" customWidth="1"/>
    <col min="14605" max="14605" width="11.28515625" style="213" bestFit="1" customWidth="1"/>
    <col min="14606" max="14606" width="3.28515625" style="213" customWidth="1"/>
    <col min="14607" max="14607" width="22.140625" style="213" bestFit="1" customWidth="1"/>
    <col min="14608" max="14608" width="10.28515625" style="213" bestFit="1" customWidth="1"/>
    <col min="14609" max="14853" width="9.140625" style="213"/>
    <col min="14854" max="14854" width="26.140625" style="213" customWidth="1"/>
    <col min="14855" max="14856" width="9.140625" style="213"/>
    <col min="14857" max="14857" width="25.85546875" style="213" customWidth="1"/>
    <col min="14858" max="14858" width="9.140625" style="213"/>
    <col min="14859" max="14859" width="3.28515625" style="213" customWidth="1"/>
    <col min="14860" max="14860" width="26" style="213" customWidth="1"/>
    <col min="14861" max="14861" width="11.28515625" style="213" bestFit="1" customWidth="1"/>
    <col min="14862" max="14862" width="3.28515625" style="213" customWidth="1"/>
    <col min="14863" max="14863" width="22.140625" style="213" bestFit="1" customWidth="1"/>
    <col min="14864" max="14864" width="10.28515625" style="213" bestFit="1" customWidth="1"/>
    <col min="14865" max="15109" width="9.140625" style="213"/>
    <col min="15110" max="15110" width="26.140625" style="213" customWidth="1"/>
    <col min="15111" max="15112" width="9.140625" style="213"/>
    <col min="15113" max="15113" width="25.85546875" style="213" customWidth="1"/>
    <col min="15114" max="15114" width="9.140625" style="213"/>
    <col min="15115" max="15115" width="3.28515625" style="213" customWidth="1"/>
    <col min="15116" max="15116" width="26" style="213" customWidth="1"/>
    <col min="15117" max="15117" width="11.28515625" style="213" bestFit="1" customWidth="1"/>
    <col min="15118" max="15118" width="3.28515625" style="213" customWidth="1"/>
    <col min="15119" max="15119" width="22.140625" style="213" bestFit="1" customWidth="1"/>
    <col min="15120" max="15120" width="10.28515625" style="213" bestFit="1" customWidth="1"/>
    <col min="15121" max="15365" width="9.140625" style="213"/>
    <col min="15366" max="15366" width="26.140625" style="213" customWidth="1"/>
    <col min="15367" max="15368" width="9.140625" style="213"/>
    <col min="15369" max="15369" width="25.85546875" style="213" customWidth="1"/>
    <col min="15370" max="15370" width="9.140625" style="213"/>
    <col min="15371" max="15371" width="3.28515625" style="213" customWidth="1"/>
    <col min="15372" max="15372" width="26" style="213" customWidth="1"/>
    <col min="15373" max="15373" width="11.28515625" style="213" bestFit="1" customWidth="1"/>
    <col min="15374" max="15374" width="3.28515625" style="213" customWidth="1"/>
    <col min="15375" max="15375" width="22.140625" style="213" bestFit="1" customWidth="1"/>
    <col min="15376" max="15376" width="10.28515625" style="213" bestFit="1" customWidth="1"/>
    <col min="15377" max="15621" width="9.140625" style="213"/>
    <col min="15622" max="15622" width="26.140625" style="213" customWidth="1"/>
    <col min="15623" max="15624" width="9.140625" style="213"/>
    <col min="15625" max="15625" width="25.85546875" style="213" customWidth="1"/>
    <col min="15626" max="15626" width="9.140625" style="213"/>
    <col min="15627" max="15627" width="3.28515625" style="213" customWidth="1"/>
    <col min="15628" max="15628" width="26" style="213" customWidth="1"/>
    <col min="15629" max="15629" width="11.28515625" style="213" bestFit="1" customWidth="1"/>
    <col min="15630" max="15630" width="3.28515625" style="213" customWidth="1"/>
    <col min="15631" max="15631" width="22.140625" style="213" bestFit="1" customWidth="1"/>
    <col min="15632" max="15632" width="10.28515625" style="213" bestFit="1" customWidth="1"/>
    <col min="15633" max="15877" width="9.140625" style="213"/>
    <col min="15878" max="15878" width="26.140625" style="213" customWidth="1"/>
    <col min="15879" max="15880" width="9.140625" style="213"/>
    <col min="15881" max="15881" width="25.85546875" style="213" customWidth="1"/>
    <col min="15882" max="15882" width="9.140625" style="213"/>
    <col min="15883" max="15883" width="3.28515625" style="213" customWidth="1"/>
    <col min="15884" max="15884" width="26" style="213" customWidth="1"/>
    <col min="15885" max="15885" width="11.28515625" style="213" bestFit="1" customWidth="1"/>
    <col min="15886" max="15886" width="3.28515625" style="213" customWidth="1"/>
    <col min="15887" max="15887" width="22.140625" style="213" bestFit="1" customWidth="1"/>
    <col min="15888" max="15888" width="10.28515625" style="213" bestFit="1" customWidth="1"/>
    <col min="15889" max="16133" width="9.140625" style="213"/>
    <col min="16134" max="16134" width="26.140625" style="213" customWidth="1"/>
    <col min="16135" max="16136" width="9.140625" style="213"/>
    <col min="16137" max="16137" width="25.85546875" style="213" customWidth="1"/>
    <col min="16138" max="16138" width="9.140625" style="213"/>
    <col min="16139" max="16139" width="3.28515625" style="213" customWidth="1"/>
    <col min="16140" max="16140" width="26" style="213" customWidth="1"/>
    <col min="16141" max="16141" width="11.28515625" style="213" bestFit="1" customWidth="1"/>
    <col min="16142" max="16142" width="3.28515625" style="213" customWidth="1"/>
    <col min="16143" max="16143" width="22.140625" style="213" bestFit="1" customWidth="1"/>
    <col min="16144" max="16144" width="10.28515625" style="213" bestFit="1" customWidth="1"/>
    <col min="16145" max="16384" width="9.140625" style="213"/>
  </cols>
  <sheetData>
    <row r="1" spans="1:22" s="117" customFormat="1" ht="18" customHeight="1" x14ac:dyDescent="0.2">
      <c r="A1" s="3" t="s">
        <v>219</v>
      </c>
      <c r="B1" s="3"/>
      <c r="C1" s="119"/>
      <c r="D1" s="119"/>
      <c r="E1" s="119"/>
      <c r="F1" s="119"/>
      <c r="G1" s="21" t="s">
        <v>2</v>
      </c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</row>
    <row r="2" spans="1:22" s="117" customFormat="1" ht="15.95" customHeight="1" thickBot="1" x14ac:dyDescent="0.25">
      <c r="A2" s="4" t="s">
        <v>266</v>
      </c>
      <c r="B2" s="4"/>
      <c r="C2" s="120"/>
      <c r="D2" s="120"/>
      <c r="E2" s="120"/>
      <c r="F2" s="120"/>
      <c r="G2" s="22" t="s">
        <v>215</v>
      </c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 spans="1:22" s="29" customFormat="1" ht="10.35" customHeight="1" x14ac:dyDescent="0.2"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7" spans="1:22" x14ac:dyDescent="0.2">
      <c r="A7" s="214" t="s">
        <v>267</v>
      </c>
      <c r="B7" s="215"/>
      <c r="C7" s="216"/>
      <c r="E7" s="214" t="s">
        <v>268</v>
      </c>
      <c r="F7" s="215"/>
      <c r="G7" s="216"/>
      <c r="H7" s="217"/>
    </row>
    <row r="8" spans="1:22" x14ac:dyDescent="0.2">
      <c r="A8" s="218"/>
      <c r="B8" s="219"/>
      <c r="C8" s="251"/>
      <c r="E8" s="218"/>
      <c r="F8" s="219"/>
      <c r="G8" s="220"/>
    </row>
    <row r="9" spans="1:22" x14ac:dyDescent="0.2">
      <c r="A9" s="221" t="s">
        <v>269</v>
      </c>
      <c r="B9" s="222"/>
      <c r="C9" s="338">
        <v>2.8830000000000001E-2</v>
      </c>
      <c r="E9" s="221" t="s">
        <v>270</v>
      </c>
      <c r="F9" s="222"/>
      <c r="G9" s="224">
        <f>+C10</f>
        <v>4.3900000000000002E-2</v>
      </c>
      <c r="H9" s="222"/>
    </row>
    <row r="10" spans="1:22" x14ac:dyDescent="0.2">
      <c r="A10" s="221" t="s">
        <v>271</v>
      </c>
      <c r="B10" s="222"/>
      <c r="C10" s="338">
        <v>4.3900000000000002E-2</v>
      </c>
      <c r="D10" s="223"/>
      <c r="E10" s="221" t="s">
        <v>24</v>
      </c>
      <c r="F10" s="222"/>
      <c r="G10" s="224">
        <f>+C13</f>
        <v>0.26500000000000001</v>
      </c>
    </row>
    <row r="11" spans="1:22" x14ac:dyDescent="0.2">
      <c r="A11" s="221" t="s">
        <v>272</v>
      </c>
      <c r="B11" s="222"/>
      <c r="C11" s="339">
        <v>7.1410000000000001E-2</v>
      </c>
      <c r="D11" s="225"/>
      <c r="E11" s="226" t="s">
        <v>273</v>
      </c>
      <c r="F11" s="227"/>
      <c r="G11" s="250">
        <f>G9*(1-G10)</f>
        <v>3.2266500000000004E-2</v>
      </c>
      <c r="H11" s="222"/>
    </row>
    <row r="12" spans="1:22" x14ac:dyDescent="0.2">
      <c r="A12" s="221" t="s">
        <v>274</v>
      </c>
      <c r="B12" s="222"/>
      <c r="C12" s="340">
        <v>1.2</v>
      </c>
      <c r="D12" s="223"/>
    </row>
    <row r="13" spans="1:22" x14ac:dyDescent="0.2">
      <c r="A13" s="221" t="s">
        <v>24</v>
      </c>
      <c r="B13" s="222"/>
      <c r="C13" s="354">
        <f>'Income Statement'!H29</f>
        <v>0.26500000000000001</v>
      </c>
      <c r="D13" s="225"/>
      <c r="E13" s="214" t="s">
        <v>275</v>
      </c>
      <c r="F13" s="215"/>
      <c r="G13" s="216"/>
      <c r="H13" s="228"/>
      <c r="I13" s="228"/>
      <c r="J13" s="228"/>
      <c r="K13" s="228"/>
      <c r="L13" s="228"/>
      <c r="M13" s="228"/>
      <c r="N13" s="228"/>
      <c r="O13" s="228"/>
      <c r="P13" s="228"/>
      <c r="Q13" s="228"/>
    </row>
    <row r="14" spans="1:22" x14ac:dyDescent="0.2">
      <c r="A14" s="221" t="s">
        <v>276</v>
      </c>
      <c r="B14" s="222"/>
      <c r="C14" s="249">
        <f>'Public Comps'!D25</f>
        <v>14.568283555966271</v>
      </c>
      <c r="D14" s="225"/>
      <c r="E14" s="218"/>
      <c r="F14" s="219"/>
      <c r="G14" s="220"/>
      <c r="H14" s="228"/>
      <c r="I14" s="228"/>
      <c r="J14" s="228"/>
      <c r="K14" s="228"/>
      <c r="L14" s="228"/>
      <c r="M14" s="228"/>
      <c r="N14" s="228"/>
      <c r="O14" s="228"/>
      <c r="P14" s="228"/>
      <c r="Q14" s="228"/>
    </row>
    <row r="15" spans="1:22" x14ac:dyDescent="0.2">
      <c r="A15" s="221" t="s">
        <v>277</v>
      </c>
      <c r="B15" s="222"/>
      <c r="C15" s="248">
        <f>'Public Comps'!C25</f>
        <v>63.24</v>
      </c>
      <c r="D15" s="229"/>
      <c r="E15" s="221" t="s">
        <v>269</v>
      </c>
      <c r="F15" s="222"/>
      <c r="G15" s="224">
        <f>+C9</f>
        <v>2.8830000000000001E-2</v>
      </c>
      <c r="H15" s="228"/>
      <c r="I15" s="228"/>
      <c r="J15" s="228"/>
      <c r="K15" s="228"/>
      <c r="L15" s="228"/>
      <c r="M15" s="228"/>
      <c r="N15" s="228"/>
      <c r="O15" s="228"/>
      <c r="P15" s="228"/>
      <c r="Q15" s="228"/>
    </row>
    <row r="16" spans="1:22" x14ac:dyDescent="0.2">
      <c r="A16" s="230" t="s">
        <v>278</v>
      </c>
      <c r="B16" s="231"/>
      <c r="C16" s="247">
        <f>'Balance Sheet'!G24</f>
        <v>763.94200000000001</v>
      </c>
      <c r="D16" s="222"/>
      <c r="E16" s="221" t="s">
        <v>272</v>
      </c>
      <c r="F16" s="222"/>
      <c r="G16" s="224">
        <f>+C11</f>
        <v>7.1410000000000001E-2</v>
      </c>
      <c r="H16" s="228"/>
      <c r="I16" s="228"/>
      <c r="J16" s="228"/>
      <c r="K16" s="228"/>
      <c r="L16" s="228"/>
      <c r="M16" s="228"/>
      <c r="N16" s="228"/>
      <c r="O16" s="228"/>
      <c r="P16" s="228"/>
      <c r="Q16" s="228"/>
    </row>
    <row r="17" spans="1:17" x14ac:dyDescent="0.2">
      <c r="D17" s="232"/>
      <c r="E17" s="221" t="s">
        <v>274</v>
      </c>
      <c r="F17" s="222"/>
      <c r="G17" s="269">
        <f>+C12</f>
        <v>1.2</v>
      </c>
      <c r="H17" s="228"/>
      <c r="I17" s="228"/>
      <c r="J17" s="228"/>
      <c r="K17" s="228"/>
      <c r="L17" s="228"/>
      <c r="M17" s="228"/>
      <c r="N17" s="228"/>
      <c r="O17" s="228"/>
      <c r="P17" s="228"/>
      <c r="Q17" s="228"/>
    </row>
    <row r="18" spans="1:17" x14ac:dyDescent="0.2">
      <c r="D18" s="233"/>
      <c r="E18" s="226" t="s">
        <v>279</v>
      </c>
      <c r="F18" s="227"/>
      <c r="G18" s="234">
        <f>+G15+G16*G17</f>
        <v>0.11452200000000001</v>
      </c>
      <c r="H18" s="228"/>
      <c r="I18" s="228"/>
      <c r="J18" s="228"/>
      <c r="K18" s="228"/>
      <c r="L18" s="228"/>
      <c r="M18" s="228"/>
      <c r="N18" s="228"/>
      <c r="O18" s="228"/>
      <c r="P18" s="228"/>
      <c r="Q18" s="228"/>
    </row>
    <row r="19" spans="1:17" x14ac:dyDescent="0.2">
      <c r="D19" s="233"/>
      <c r="E19" s="235"/>
      <c r="F19" s="235"/>
      <c r="G19" s="236"/>
      <c r="H19" s="228"/>
      <c r="I19" s="228"/>
      <c r="J19" s="228"/>
      <c r="K19" s="228"/>
      <c r="L19" s="228"/>
      <c r="M19" s="228"/>
      <c r="N19" s="228"/>
      <c r="O19" s="228"/>
      <c r="P19" s="228"/>
      <c r="Q19" s="228"/>
    </row>
    <row r="20" spans="1:17" x14ac:dyDescent="0.2">
      <c r="D20" s="233"/>
      <c r="E20" s="237"/>
      <c r="F20" s="237"/>
      <c r="G20" s="238"/>
      <c r="H20" s="228"/>
      <c r="I20" s="228"/>
      <c r="J20" s="228"/>
      <c r="K20" s="228"/>
      <c r="L20" s="228"/>
      <c r="M20" s="228"/>
      <c r="N20" s="228"/>
      <c r="O20" s="228"/>
      <c r="P20" s="228"/>
      <c r="Q20" s="228"/>
    </row>
    <row r="21" spans="1:17" x14ac:dyDescent="0.2">
      <c r="A21" s="214" t="s">
        <v>280</v>
      </c>
      <c r="B21" s="215"/>
      <c r="C21" s="215"/>
      <c r="D21" s="215"/>
      <c r="E21" s="216"/>
      <c r="F21" s="216"/>
      <c r="G21" s="216"/>
      <c r="J21" s="228"/>
      <c r="K21" s="228"/>
      <c r="L21" s="228"/>
      <c r="M21" s="228"/>
      <c r="N21" s="228"/>
      <c r="O21" s="228"/>
      <c r="P21" s="228"/>
      <c r="Q21" s="228"/>
    </row>
    <row r="22" spans="1:17" x14ac:dyDescent="0.2">
      <c r="A22" s="221"/>
      <c r="B22" s="222"/>
      <c r="C22" s="222"/>
      <c r="D22" s="222"/>
      <c r="E22" s="222"/>
      <c r="F22" s="222"/>
      <c r="G22" s="239"/>
      <c r="J22" s="228"/>
      <c r="K22" s="228"/>
      <c r="L22" s="228"/>
      <c r="M22" s="228"/>
      <c r="N22" s="228"/>
      <c r="O22" s="228"/>
      <c r="P22" s="228"/>
      <c r="Q22" s="228"/>
    </row>
    <row r="23" spans="1:17" ht="15" x14ac:dyDescent="0.35">
      <c r="A23" s="221"/>
      <c r="B23" s="222"/>
      <c r="C23" s="222"/>
      <c r="D23" s="222"/>
      <c r="E23" s="240" t="s">
        <v>190</v>
      </c>
      <c r="F23" s="240" t="s">
        <v>189</v>
      </c>
      <c r="G23" s="241" t="s">
        <v>281</v>
      </c>
      <c r="J23" s="228"/>
      <c r="K23" s="228"/>
      <c r="L23" s="228"/>
      <c r="M23" s="228"/>
      <c r="N23" s="228"/>
      <c r="O23" s="228"/>
      <c r="P23" s="228"/>
      <c r="Q23" s="228"/>
    </row>
    <row r="24" spans="1:17" ht="5.0999999999999996" customHeight="1" x14ac:dyDescent="0.2">
      <c r="A24" s="221"/>
      <c r="B24" s="222"/>
      <c r="C24" s="222"/>
      <c r="D24" s="222"/>
      <c r="E24" s="222"/>
      <c r="F24" s="222"/>
      <c r="G24" s="239"/>
      <c r="J24" s="228"/>
      <c r="K24" s="228"/>
      <c r="L24" s="228"/>
      <c r="M24" s="228"/>
      <c r="N24" s="228"/>
      <c r="O24" s="228"/>
      <c r="P24" s="228"/>
      <c r="Q24" s="228"/>
    </row>
    <row r="25" spans="1:17" x14ac:dyDescent="0.2">
      <c r="A25" s="221" t="s">
        <v>278</v>
      </c>
      <c r="B25" s="222"/>
      <c r="C25" s="222"/>
      <c r="D25" s="222"/>
      <c r="E25" s="242">
        <f>+C16</f>
        <v>763.94200000000001</v>
      </c>
      <c r="F25" s="243">
        <f>+E25/$E$27</f>
        <v>0.45331340683170973</v>
      </c>
      <c r="G25" s="224">
        <f>+G11</f>
        <v>3.2266500000000004E-2</v>
      </c>
      <c r="J25" s="228"/>
      <c r="K25" s="228"/>
      <c r="L25" s="228"/>
      <c r="M25" s="228"/>
      <c r="N25" s="228"/>
      <c r="O25" s="228"/>
      <c r="P25" s="228"/>
      <c r="Q25" s="228"/>
    </row>
    <row r="26" spans="1:17" x14ac:dyDescent="0.2">
      <c r="A26" s="221" t="s">
        <v>282</v>
      </c>
      <c r="B26" s="222"/>
      <c r="C26" s="222"/>
      <c r="D26" s="222"/>
      <c r="E26" s="244">
        <f>+C15*C14</f>
        <v>921.29825207930708</v>
      </c>
      <c r="F26" s="243">
        <f>+E26/$E$27</f>
        <v>0.54668659316829027</v>
      </c>
      <c r="G26" s="224">
        <f>+G18</f>
        <v>0.11452200000000001</v>
      </c>
      <c r="J26" s="228"/>
      <c r="K26" s="228"/>
      <c r="L26" s="228"/>
      <c r="M26" s="228"/>
      <c r="N26" s="228"/>
      <c r="O26" s="228"/>
      <c r="P26" s="228"/>
      <c r="Q26" s="228"/>
    </row>
    <row r="27" spans="1:17" x14ac:dyDescent="0.2">
      <c r="A27" s="226" t="s">
        <v>205</v>
      </c>
      <c r="B27" s="227"/>
      <c r="C27" s="227"/>
      <c r="D27" s="227"/>
      <c r="E27" s="245">
        <f>SUM(E25:E26)</f>
        <v>1685.2402520793071</v>
      </c>
      <c r="F27" s="246">
        <f>+E27/$E$27</f>
        <v>1</v>
      </c>
      <c r="G27" s="268">
        <f>+G25*F25+G26*F26</f>
        <v>7.7234479064354308E-2</v>
      </c>
    </row>
    <row r="42" spans="1:8" x14ac:dyDescent="0.2">
      <c r="A42" s="256"/>
    </row>
    <row r="43" spans="1:8" x14ac:dyDescent="0.2">
      <c r="A43" s="253"/>
    </row>
    <row r="45" spans="1:8" x14ac:dyDescent="0.2">
      <c r="B45" s="256"/>
      <c r="C45" s="256"/>
      <c r="D45" s="256"/>
      <c r="E45" s="256"/>
      <c r="F45" s="256"/>
      <c r="G45" s="256"/>
      <c r="H45" s="256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4"/>
  <sheetViews>
    <sheetView showGridLines="0" zoomScale="85" zoomScaleNormal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1" ht="18" customHeight="1" x14ac:dyDescent="0.25">
      <c r="A1" s="3" t="s">
        <v>219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21" t="s">
        <v>2</v>
      </c>
      <c r="M1" s="117"/>
      <c r="N1" s="117"/>
      <c r="O1" s="117"/>
      <c r="P1" s="117"/>
      <c r="Q1" s="117"/>
      <c r="R1" s="117"/>
      <c r="S1" s="117"/>
      <c r="T1" s="117"/>
      <c r="U1" s="117"/>
    </row>
    <row r="2" spans="1:21" ht="15.95" customHeight="1" thickBot="1" x14ac:dyDescent="0.3">
      <c r="A2" s="4" t="s">
        <v>126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22" t="s">
        <v>215</v>
      </c>
      <c r="M2" s="117"/>
      <c r="N2" s="117"/>
      <c r="O2" s="117"/>
      <c r="P2" s="117"/>
      <c r="Q2" s="117"/>
      <c r="R2" s="117"/>
      <c r="S2" s="117"/>
      <c r="T2" s="117"/>
      <c r="U2" s="117"/>
    </row>
    <row r="3" spans="1:21" x14ac:dyDescent="0.25">
      <c r="M3" s="117"/>
      <c r="N3" s="117"/>
      <c r="O3" s="117"/>
      <c r="P3" s="117"/>
      <c r="Q3" s="117"/>
      <c r="R3" s="117"/>
      <c r="S3" s="117"/>
      <c r="T3" s="117"/>
      <c r="U3" s="117"/>
    </row>
    <row r="4" spans="1:21" x14ac:dyDescent="0.25">
      <c r="M4" s="117"/>
      <c r="N4" s="117"/>
      <c r="O4" s="117"/>
      <c r="P4" s="117"/>
      <c r="Q4" s="117"/>
      <c r="R4" s="117"/>
      <c r="S4" s="117"/>
      <c r="T4" s="117"/>
      <c r="U4" s="117"/>
    </row>
    <row r="5" spans="1:21" x14ac:dyDescent="0.25">
      <c r="M5" s="117"/>
      <c r="N5" s="117"/>
      <c r="O5" s="117"/>
      <c r="P5" s="117"/>
      <c r="Q5" s="117"/>
      <c r="R5" s="117"/>
      <c r="S5" s="117"/>
      <c r="T5" s="117"/>
      <c r="U5" s="117"/>
    </row>
    <row r="6" spans="1:21" ht="12.75" customHeight="1" x14ac:dyDescent="0.25">
      <c r="A6" s="117"/>
      <c r="B6" s="117"/>
      <c r="C6" s="117"/>
      <c r="D6" s="117"/>
      <c r="E6" s="117"/>
      <c r="F6" s="117"/>
      <c r="G6" s="117"/>
      <c r="H6" s="172" t="s">
        <v>229</v>
      </c>
      <c r="I6" s="173"/>
      <c r="J6" s="173"/>
      <c r="K6" s="173"/>
      <c r="L6" s="173"/>
      <c r="M6" s="117"/>
      <c r="N6" s="117"/>
      <c r="O6" s="117"/>
      <c r="P6" s="117"/>
      <c r="Q6" s="117"/>
      <c r="R6" s="117"/>
      <c r="S6" s="117"/>
      <c r="T6" s="117"/>
      <c r="U6" s="117"/>
    </row>
    <row r="7" spans="1:21" ht="12.75" customHeight="1" x14ac:dyDescent="0.25">
      <c r="A7" s="117"/>
      <c r="B7" s="117"/>
      <c r="C7" s="117"/>
      <c r="D7" s="117"/>
      <c r="E7" s="117"/>
      <c r="F7" s="117"/>
      <c r="G7" s="117"/>
      <c r="H7" s="174" t="s">
        <v>4</v>
      </c>
      <c r="I7" s="174" t="s">
        <v>5</v>
      </c>
      <c r="J7" s="174" t="s">
        <v>333</v>
      </c>
      <c r="K7" s="174" t="s">
        <v>355</v>
      </c>
      <c r="L7" s="174" t="s">
        <v>398</v>
      </c>
      <c r="M7" s="117"/>
      <c r="N7" s="27" t="s">
        <v>6</v>
      </c>
      <c r="O7" s="117"/>
      <c r="P7" s="117"/>
      <c r="Q7" s="117"/>
      <c r="R7" s="117"/>
      <c r="S7" s="117"/>
      <c r="T7" s="117"/>
      <c r="U7" s="117"/>
    </row>
    <row r="8" spans="1:21" ht="12.75" customHeight="1" x14ac:dyDescent="0.25">
      <c r="A8" s="100" t="s">
        <v>127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</row>
    <row r="9" spans="1:21" ht="3" customHeight="1" x14ac:dyDescent="0.25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</row>
    <row r="10" spans="1:21" ht="12.75" customHeight="1" x14ac:dyDescent="0.25">
      <c r="A10" s="117" t="s">
        <v>128</v>
      </c>
      <c r="B10" s="117"/>
      <c r="C10" s="117"/>
      <c r="D10" s="117"/>
      <c r="E10" s="20"/>
      <c r="F10" s="20"/>
      <c r="G10" s="20"/>
      <c r="H10" s="8">
        <v>1</v>
      </c>
      <c r="I10" s="8">
        <v>2</v>
      </c>
      <c r="J10" s="8">
        <v>3</v>
      </c>
      <c r="K10" s="8">
        <v>4</v>
      </c>
      <c r="L10" s="8">
        <v>5</v>
      </c>
      <c r="M10" s="117"/>
      <c r="N10" s="117"/>
      <c r="O10" s="117"/>
      <c r="P10" s="117"/>
      <c r="Q10" s="117"/>
      <c r="R10" s="117"/>
      <c r="S10" s="117"/>
      <c r="T10" s="117"/>
      <c r="U10" s="117"/>
    </row>
    <row r="11" spans="1:21" ht="12.75" customHeight="1" x14ac:dyDescent="0.25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</row>
    <row r="12" spans="1:21" ht="12.75" customHeight="1" x14ac:dyDescent="0.25">
      <c r="A12" s="129" t="s">
        <v>8</v>
      </c>
      <c r="B12" s="129"/>
      <c r="C12" s="129"/>
      <c r="D12" s="129"/>
      <c r="E12" s="117"/>
      <c r="F12" s="117"/>
      <c r="G12" s="117"/>
      <c r="H12" s="10">
        <f>'Income Statement'!H10</f>
        <v>1525.8388749999999</v>
      </c>
      <c r="I12" s="10">
        <f>'Income Statement'!I10</f>
        <v>1617.3892074999999</v>
      </c>
      <c r="J12" s="10">
        <f>'Income Statement'!J10</f>
        <v>1698.2586678749999</v>
      </c>
      <c r="K12" s="10">
        <f>'Income Statement'!K10</f>
        <v>1757.6977212506247</v>
      </c>
      <c r="L12" s="10">
        <f>'Income Statement'!L10</f>
        <v>1810.4286528881435</v>
      </c>
      <c r="M12" s="117"/>
      <c r="N12" s="117" t="s">
        <v>129</v>
      </c>
      <c r="O12" s="117"/>
      <c r="P12" s="117"/>
      <c r="Q12" s="117"/>
      <c r="R12" s="117"/>
      <c r="S12" s="117"/>
      <c r="T12" s="117"/>
      <c r="U12" s="117"/>
    </row>
    <row r="13" spans="1:21" ht="12.75" customHeight="1" x14ac:dyDescent="0.25">
      <c r="A13" s="129" t="s">
        <v>12</v>
      </c>
      <c r="B13" s="129"/>
      <c r="C13" s="129"/>
      <c r="D13" s="129"/>
      <c r="E13" s="117"/>
      <c r="F13" s="117"/>
      <c r="G13" s="117"/>
      <c r="H13" s="17">
        <f>+H12-H14</f>
        <v>1379.3583429999999</v>
      </c>
      <c r="I13" s="17">
        <f>+I12-I14</f>
        <v>1463.7372327874998</v>
      </c>
      <c r="J13" s="17">
        <f>+J12-J14</f>
        <v>1533.5275770911248</v>
      </c>
      <c r="K13" s="17">
        <f>+K12-K14</f>
        <v>1585.4433445680634</v>
      </c>
      <c r="L13" s="17">
        <f>+L12-L14</f>
        <v>1631.1962162522173</v>
      </c>
      <c r="M13" s="117"/>
      <c r="N13" s="117"/>
      <c r="O13" s="117"/>
      <c r="P13" s="117"/>
      <c r="Q13" s="117"/>
      <c r="R13" s="117"/>
      <c r="S13" s="117"/>
      <c r="T13" s="117"/>
      <c r="U13" s="117"/>
    </row>
    <row r="14" spans="1:21" ht="12.75" customHeight="1" x14ac:dyDescent="0.25">
      <c r="A14" s="125" t="s">
        <v>130</v>
      </c>
      <c r="B14" s="140"/>
      <c r="C14" s="140"/>
      <c r="D14" s="140"/>
      <c r="E14" s="126"/>
      <c r="F14" s="126"/>
      <c r="G14" s="126"/>
      <c r="H14" s="12">
        <f>'Income Statement'!H14</f>
        <v>146.48053199999998</v>
      </c>
      <c r="I14" s="12">
        <f>'Income Statement'!I14</f>
        <v>153.65197471249999</v>
      </c>
      <c r="J14" s="12">
        <f>'Income Statement'!J14</f>
        <v>164.731090783875</v>
      </c>
      <c r="K14" s="12">
        <f>'Income Statement'!K14</f>
        <v>172.25437668256123</v>
      </c>
      <c r="L14" s="12">
        <f>'Income Statement'!L14</f>
        <v>179.23243663592621</v>
      </c>
      <c r="M14" s="117"/>
      <c r="N14" s="117" t="s">
        <v>129</v>
      </c>
      <c r="O14" s="117"/>
      <c r="P14" s="117"/>
      <c r="Q14" s="117"/>
      <c r="R14" s="117"/>
      <c r="S14" s="117"/>
      <c r="T14" s="117"/>
      <c r="U14" s="117"/>
    </row>
    <row r="15" spans="1:21" ht="12.75" customHeight="1" x14ac:dyDescent="0.25">
      <c r="A15" s="129" t="s">
        <v>131</v>
      </c>
      <c r="B15" s="355">
        <f>'Income Statement'!H29</f>
        <v>0.26500000000000001</v>
      </c>
      <c r="C15" s="129"/>
      <c r="D15" s="129"/>
      <c r="E15" s="117"/>
      <c r="F15" s="117"/>
      <c r="G15" s="117"/>
      <c r="H15" s="124">
        <f>H14*$B$15</f>
        <v>38.817340979999997</v>
      </c>
      <c r="I15" s="124">
        <f>I14*$B$15</f>
        <v>40.717773298812503</v>
      </c>
      <c r="J15" s="124">
        <f>J14*$B$15</f>
        <v>43.653739057726881</v>
      </c>
      <c r="K15" s="124">
        <f>K14*$B$15</f>
        <v>45.647409820878728</v>
      </c>
      <c r="L15" s="124">
        <f>L14*$B$15</f>
        <v>47.496595708520445</v>
      </c>
      <c r="M15" s="117"/>
      <c r="N15" s="117"/>
      <c r="O15" s="117"/>
      <c r="P15" s="117"/>
      <c r="Q15" s="117"/>
      <c r="R15" s="117"/>
      <c r="S15" s="117"/>
      <c r="T15" s="117"/>
      <c r="U15" s="117"/>
    </row>
    <row r="16" spans="1:21" ht="12.75" customHeight="1" x14ac:dyDescent="0.25">
      <c r="A16" s="125" t="s">
        <v>132</v>
      </c>
      <c r="B16" s="140"/>
      <c r="C16" s="140"/>
      <c r="D16" s="140"/>
      <c r="E16" s="126"/>
      <c r="F16" s="126"/>
      <c r="G16" s="126"/>
      <c r="H16" s="127">
        <f>+H14-H15</f>
        <v>107.66319101999999</v>
      </c>
      <c r="I16" s="127">
        <f>+I14-I15</f>
        <v>112.93420141368749</v>
      </c>
      <c r="J16" s="127">
        <f>+J14-J15</f>
        <v>121.07735172614812</v>
      </c>
      <c r="K16" s="127">
        <f>+K14-K15</f>
        <v>126.60696686168251</v>
      </c>
      <c r="L16" s="127">
        <f>+L14-L15</f>
        <v>131.73584092740577</v>
      </c>
      <c r="M16" s="117"/>
      <c r="N16" s="117"/>
      <c r="O16" s="117"/>
      <c r="P16" s="117"/>
      <c r="Q16" s="117"/>
      <c r="R16" s="117"/>
      <c r="S16" s="117"/>
      <c r="T16" s="117"/>
      <c r="U16" s="117"/>
    </row>
    <row r="17" spans="1:21" ht="12.75" customHeight="1" x14ac:dyDescent="0.25">
      <c r="A17" s="129"/>
      <c r="B17" s="129"/>
      <c r="C17" s="129"/>
      <c r="D17" s="129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</row>
    <row r="18" spans="1:21" ht="12.75" customHeight="1" x14ac:dyDescent="0.25">
      <c r="A18" s="129" t="s">
        <v>133</v>
      </c>
      <c r="B18" s="129"/>
      <c r="C18" s="129"/>
      <c r="D18" s="129"/>
      <c r="E18" s="117"/>
      <c r="F18" s="117"/>
      <c r="G18" s="117"/>
      <c r="H18" s="10">
        <f>'Cash Flow Statement'!H11</f>
        <v>137.32549874999998</v>
      </c>
      <c r="I18" s="10">
        <f>'Cash Flow Statement'!I11</f>
        <v>153.65197471249999</v>
      </c>
      <c r="J18" s="10">
        <f>'Cash Flow Statement'!J11</f>
        <v>169.82586678749999</v>
      </c>
      <c r="K18" s="10">
        <f>'Cash Flow Statement'!K11</f>
        <v>193.34674933756872</v>
      </c>
      <c r="L18" s="10">
        <f>'Cash Flow Statement'!L11</f>
        <v>217.2514383465772</v>
      </c>
      <c r="M18" s="117"/>
      <c r="N18" s="117" t="s">
        <v>134</v>
      </c>
      <c r="O18" s="117"/>
      <c r="P18" s="117"/>
      <c r="Q18" s="117"/>
      <c r="R18" s="117"/>
      <c r="S18" s="117"/>
      <c r="T18" s="117"/>
      <c r="U18" s="117"/>
    </row>
    <row r="19" spans="1:21" ht="12.75" customHeight="1" x14ac:dyDescent="0.25">
      <c r="A19" s="129" t="s">
        <v>55</v>
      </c>
      <c r="B19" s="129"/>
      <c r="C19" s="129"/>
      <c r="D19" s="129"/>
      <c r="E19" s="117"/>
      <c r="F19" s="117"/>
      <c r="G19" s="117"/>
      <c r="H19" s="11">
        <f>'Cash Flow Statement'!H12</f>
        <v>25.065093446061667</v>
      </c>
      <c r="I19" s="11">
        <f>'Cash Flow Statement'!I12</f>
        <v>17.366345606763673</v>
      </c>
      <c r="J19" s="11">
        <f>'Cash Flow Statement'!J12</f>
        <v>15.422902997938024</v>
      </c>
      <c r="K19" s="11">
        <f>'Cash Flow Statement'!K12</f>
        <v>11.192468839894502</v>
      </c>
      <c r="L19" s="11">
        <f>'Cash Flow Statement'!L12</f>
        <v>10.00262432671974</v>
      </c>
      <c r="M19" s="117"/>
      <c r="N19" s="117" t="s">
        <v>134</v>
      </c>
      <c r="O19" s="117"/>
      <c r="P19" s="117"/>
      <c r="Q19" s="117"/>
      <c r="R19" s="117"/>
      <c r="S19" s="117"/>
      <c r="T19" s="117"/>
      <c r="U19" s="117"/>
    </row>
    <row r="20" spans="1:21" s="15" customFormat="1" ht="12.75" customHeight="1" x14ac:dyDescent="0.25">
      <c r="A20" s="129" t="s">
        <v>135</v>
      </c>
      <c r="B20" s="129"/>
      <c r="C20" s="129"/>
      <c r="D20" s="129"/>
      <c r="E20" s="117"/>
      <c r="F20" s="117"/>
      <c r="G20" s="117"/>
      <c r="H20" s="11">
        <f>'Cash Flow Statement'!H15</f>
        <v>-167.84227625</v>
      </c>
      <c r="I20" s="11">
        <f>'Cash Flow Statement'!I15</f>
        <v>-258.78227319999996</v>
      </c>
      <c r="J20" s="11">
        <f>'Cash Flow Statement'!J15</f>
        <v>-169.82586678749999</v>
      </c>
      <c r="K20" s="11">
        <f>'Cash Flow Statement'!K15</f>
        <v>-202.13523794382183</v>
      </c>
      <c r="L20" s="11">
        <f>'Cash Flow Statement'!L15</f>
        <v>-217.2514383465772</v>
      </c>
      <c r="M20" s="118"/>
      <c r="N20" s="117" t="s">
        <v>134</v>
      </c>
      <c r="O20" s="118"/>
      <c r="P20" s="118"/>
      <c r="Q20" s="118"/>
      <c r="R20" s="118"/>
      <c r="S20" s="118"/>
      <c r="T20" s="118"/>
      <c r="U20" s="118"/>
    </row>
    <row r="21" spans="1:21" ht="12.75" customHeight="1" x14ac:dyDescent="0.25">
      <c r="A21" s="125" t="s">
        <v>136</v>
      </c>
      <c r="B21" s="106"/>
      <c r="C21" s="106"/>
      <c r="D21" s="106"/>
      <c r="E21" s="126"/>
      <c r="F21" s="126"/>
      <c r="G21" s="126"/>
      <c r="H21" s="127">
        <f t="shared" ref="H21:K21" si="0">SUM(H18:H20,H16)</f>
        <v>102.21150696606163</v>
      </c>
      <c r="I21" s="127">
        <f t="shared" si="0"/>
        <v>25.170248532951192</v>
      </c>
      <c r="J21" s="127">
        <f t="shared" si="0"/>
        <v>136.50025472408615</v>
      </c>
      <c r="K21" s="127">
        <f t="shared" si="0"/>
        <v>129.0109470953239</v>
      </c>
      <c r="L21" s="127">
        <f>SUM(L18:L20,L16)</f>
        <v>141.73846525412552</v>
      </c>
      <c r="M21" s="117"/>
      <c r="N21" s="117"/>
      <c r="O21" s="117"/>
      <c r="P21" s="117"/>
      <c r="Q21" s="117"/>
      <c r="R21" s="117"/>
      <c r="S21" s="117"/>
      <c r="T21" s="117"/>
      <c r="U21" s="117"/>
    </row>
    <row r="22" spans="1:21" ht="12.75" customHeight="1" x14ac:dyDescent="0.25">
      <c r="A22" s="129"/>
      <c r="B22" s="101"/>
      <c r="C22" s="101"/>
      <c r="D22" s="101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</row>
    <row r="23" spans="1:21" ht="12.75" customHeight="1" x14ac:dyDescent="0.25">
      <c r="A23" s="132" t="s">
        <v>137</v>
      </c>
      <c r="B23" s="101"/>
      <c r="C23" s="101"/>
      <c r="E23" s="270">
        <f>+WACC!$G$27</f>
        <v>7.7234479064354308E-2</v>
      </c>
      <c r="F23" s="117"/>
      <c r="G23" s="117"/>
      <c r="H23" s="122">
        <f>H21/(1+$E$23)^H10</f>
        <v>94.883248682161337</v>
      </c>
      <c r="I23" s="122">
        <f>I21/(1+$E$23)^I10</f>
        <v>21.690372625697503</v>
      </c>
      <c r="J23" s="122">
        <f>J21/(1+$E$23)^J10</f>
        <v>109.19499318160975</v>
      </c>
      <c r="K23" s="122">
        <f>K21/(1+$E$23)^K10</f>
        <v>95.80442788660234</v>
      </c>
      <c r="L23" s="122">
        <f>L21/(1+$E$23)^L10</f>
        <v>97.709434264612469</v>
      </c>
      <c r="M23" s="117"/>
      <c r="N23" s="117" t="s">
        <v>294</v>
      </c>
      <c r="O23" s="117"/>
      <c r="P23" s="117"/>
      <c r="Q23" s="117"/>
      <c r="R23" s="117"/>
      <c r="S23" s="117"/>
      <c r="T23" s="117"/>
      <c r="U23" s="117"/>
    </row>
    <row r="24" spans="1:21" ht="12.75" customHeight="1" x14ac:dyDescent="0.25">
      <c r="A24" s="132" t="s">
        <v>138</v>
      </c>
      <c r="B24" s="129"/>
      <c r="C24" s="129"/>
      <c r="D24" s="129"/>
      <c r="E24" s="117"/>
      <c r="F24" s="117"/>
      <c r="G24" s="117"/>
      <c r="H24" s="117"/>
      <c r="I24" s="117"/>
      <c r="J24" s="117"/>
      <c r="K24" s="117"/>
      <c r="L24" s="124">
        <f>SUM(H23:L23)</f>
        <v>419.2824766406834</v>
      </c>
      <c r="M24" s="117"/>
      <c r="N24" s="117"/>
      <c r="O24" s="117"/>
      <c r="P24" s="117"/>
      <c r="Q24" s="117"/>
      <c r="R24" s="117"/>
      <c r="S24" s="117"/>
      <c r="T24" s="117"/>
      <c r="U24" s="117"/>
    </row>
    <row r="25" spans="1:21" ht="12.75" customHeight="1" x14ac:dyDescent="0.25">
      <c r="A25" s="129"/>
      <c r="B25" s="129"/>
      <c r="C25" s="129"/>
      <c r="D25" s="129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</row>
    <row r="26" spans="1:21" ht="12.75" customHeight="1" x14ac:dyDescent="0.25">
      <c r="A26" s="129"/>
      <c r="B26" s="129"/>
      <c r="C26" s="129"/>
      <c r="D26" s="129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</row>
    <row r="27" spans="1:21" ht="12.75" customHeight="1" x14ac:dyDescent="0.25">
      <c r="A27" s="102" t="s">
        <v>139</v>
      </c>
      <c r="B27" s="129"/>
      <c r="C27" s="129"/>
      <c r="D27" s="129"/>
      <c r="E27" s="117"/>
      <c r="F27" s="117"/>
      <c r="G27" s="117"/>
      <c r="H27" s="102" t="s">
        <v>140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</row>
    <row r="28" spans="1:21" ht="3" customHeight="1" x14ac:dyDescent="0.25">
      <c r="A28" s="129"/>
      <c r="B28" s="129"/>
      <c r="C28" s="129"/>
      <c r="D28" s="129"/>
      <c r="E28" s="117"/>
      <c r="F28" s="117"/>
      <c r="G28" s="117"/>
      <c r="H28" s="129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</row>
    <row r="29" spans="1:21" ht="12.75" customHeight="1" x14ac:dyDescent="0.25">
      <c r="A29" s="129" t="s">
        <v>138</v>
      </c>
      <c r="B29" s="129"/>
      <c r="C29" s="129"/>
      <c r="D29" s="129"/>
      <c r="E29" s="145">
        <f>$L$24</f>
        <v>419.2824766406834</v>
      </c>
      <c r="F29" s="117"/>
      <c r="G29" s="117"/>
      <c r="H29" s="129" t="s">
        <v>138</v>
      </c>
      <c r="I29" s="117"/>
      <c r="J29" s="117"/>
      <c r="K29" s="117"/>
      <c r="L29" s="122">
        <f>$L$24</f>
        <v>419.2824766406834</v>
      </c>
      <c r="M29" s="117"/>
      <c r="N29" s="118"/>
      <c r="O29" s="117"/>
      <c r="P29" s="117"/>
      <c r="Q29" s="117"/>
      <c r="R29" s="117"/>
      <c r="S29" s="117"/>
      <c r="T29" s="117"/>
      <c r="U29" s="117"/>
    </row>
    <row r="30" spans="1:21" ht="12.75" customHeight="1" x14ac:dyDescent="0.25">
      <c r="A30" s="129"/>
      <c r="B30" s="129"/>
      <c r="C30" s="129"/>
      <c r="D30" s="129"/>
      <c r="E30" s="146"/>
      <c r="F30" s="117"/>
      <c r="G30" s="117"/>
      <c r="H30" s="129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</row>
    <row r="31" spans="1:21" ht="12.75" customHeight="1" x14ac:dyDescent="0.25">
      <c r="A31" s="129" t="s">
        <v>404</v>
      </c>
      <c r="B31" s="129"/>
      <c r="C31" s="129"/>
      <c r="D31" s="129"/>
      <c r="E31" s="145">
        <f>L21</f>
        <v>141.73846525412552</v>
      </c>
      <c r="F31" s="117"/>
      <c r="G31" s="117"/>
      <c r="H31" s="129" t="s">
        <v>405</v>
      </c>
      <c r="I31" s="117"/>
      <c r="J31" s="117"/>
      <c r="K31" s="117"/>
      <c r="L31" s="10">
        <f>Debt!L42</f>
        <v>396.48387498250338</v>
      </c>
      <c r="M31" s="117"/>
      <c r="N31" s="117"/>
      <c r="O31" s="117"/>
      <c r="P31" s="117"/>
      <c r="Q31" s="117"/>
      <c r="R31" s="117"/>
      <c r="S31" s="117"/>
      <c r="T31" s="117"/>
      <c r="U31" s="117"/>
    </row>
    <row r="32" spans="1:21" ht="12.75" customHeight="1" x14ac:dyDescent="0.25">
      <c r="A32" s="147" t="s">
        <v>141</v>
      </c>
      <c r="B32" s="147"/>
      <c r="C32" s="147"/>
      <c r="D32" s="147"/>
      <c r="E32" s="289">
        <v>0.02</v>
      </c>
      <c r="F32" s="117"/>
      <c r="G32" s="117"/>
      <c r="H32" s="147" t="s">
        <v>142</v>
      </c>
      <c r="I32" s="148"/>
      <c r="J32" s="148"/>
      <c r="K32" s="148"/>
      <c r="L32" s="290">
        <v>5.5</v>
      </c>
      <c r="M32" s="117"/>
      <c r="N32" s="369" t="s">
        <v>400</v>
      </c>
      <c r="O32" s="370"/>
      <c r="P32" s="370"/>
      <c r="Q32" s="370"/>
      <c r="R32" s="370"/>
      <c r="S32" s="370"/>
      <c r="T32" s="370"/>
      <c r="U32" s="370"/>
    </row>
    <row r="33" spans="1:21" ht="12.75" customHeight="1" x14ac:dyDescent="0.25">
      <c r="A33" s="132" t="s">
        <v>143</v>
      </c>
      <c r="B33" s="129"/>
      <c r="C33" s="129"/>
      <c r="D33" s="129"/>
      <c r="E33" s="145">
        <f>E31*((1+E32)/(E23-E32))</f>
        <v>2525.9814874291114</v>
      </c>
      <c r="F33" s="117"/>
      <c r="G33" s="117"/>
      <c r="H33" s="132" t="s">
        <v>143</v>
      </c>
      <c r="I33" s="118"/>
      <c r="J33" s="118"/>
      <c r="K33" s="118"/>
      <c r="L33" s="133">
        <f>L31*L32</f>
        <v>2180.6613124037685</v>
      </c>
      <c r="M33" s="117"/>
      <c r="N33" s="117" t="s">
        <v>401</v>
      </c>
      <c r="O33" s="117"/>
      <c r="P33" s="117"/>
      <c r="Q33" s="117"/>
      <c r="R33" s="117"/>
      <c r="S33" s="117"/>
      <c r="T33" s="117"/>
      <c r="U33" s="117"/>
    </row>
    <row r="34" spans="1:21" ht="12.75" customHeight="1" x14ac:dyDescent="0.25">
      <c r="A34" s="147" t="s">
        <v>128</v>
      </c>
      <c r="B34" s="147"/>
      <c r="C34" s="147"/>
      <c r="D34" s="147"/>
      <c r="E34" s="107">
        <v>5</v>
      </c>
      <c r="F34" s="117"/>
      <c r="G34" s="117"/>
      <c r="H34" s="147" t="s">
        <v>128</v>
      </c>
      <c r="I34" s="148"/>
      <c r="J34" s="148"/>
      <c r="K34" s="148"/>
      <c r="L34" s="108">
        <v>5</v>
      </c>
      <c r="M34" s="117"/>
      <c r="N34" s="117"/>
      <c r="O34" s="117"/>
      <c r="P34" s="117"/>
      <c r="Q34" s="117"/>
      <c r="R34" s="117"/>
      <c r="S34" s="117"/>
      <c r="T34" s="117"/>
      <c r="U34" s="117"/>
    </row>
    <row r="35" spans="1:21" ht="12.75" customHeight="1" x14ac:dyDescent="0.25">
      <c r="A35" s="132" t="s">
        <v>144</v>
      </c>
      <c r="B35" s="129"/>
      <c r="C35" s="129"/>
      <c r="D35" s="129"/>
      <c r="E35" s="145">
        <f>E33/(1+$E$23)^E34</f>
        <v>1741.3213954099799</v>
      </c>
      <c r="F35" s="117"/>
      <c r="G35" s="117"/>
      <c r="H35" s="132" t="s">
        <v>144</v>
      </c>
      <c r="I35" s="117"/>
      <c r="J35" s="117"/>
      <c r="K35" s="117"/>
      <c r="L35" s="122">
        <f>L33/(1+$E$23)^L34</f>
        <v>1503.270003493267</v>
      </c>
      <c r="M35" s="117"/>
      <c r="N35" s="117" t="s">
        <v>294</v>
      </c>
      <c r="O35" s="117"/>
      <c r="P35" s="117"/>
      <c r="Q35" s="117"/>
      <c r="R35" s="117"/>
      <c r="S35" s="117"/>
      <c r="T35" s="117"/>
      <c r="U35" s="117"/>
    </row>
    <row r="36" spans="1:21" ht="12.75" customHeight="1" x14ac:dyDescent="0.25">
      <c r="A36" s="132"/>
      <c r="B36" s="129"/>
      <c r="C36" s="129"/>
      <c r="D36" s="129"/>
      <c r="E36" s="146"/>
      <c r="F36" s="117"/>
      <c r="G36" s="117"/>
      <c r="H36" s="132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</row>
    <row r="37" spans="1:21" ht="12.75" customHeight="1" x14ac:dyDescent="0.25">
      <c r="A37" s="132" t="s">
        <v>145</v>
      </c>
      <c r="B37" s="129"/>
      <c r="C37" s="129"/>
      <c r="D37" s="129"/>
      <c r="E37" s="145">
        <f>E29+E35</f>
        <v>2160.6038720506631</v>
      </c>
      <c r="F37" s="117"/>
      <c r="G37" s="117"/>
      <c r="H37" s="132" t="s">
        <v>145</v>
      </c>
      <c r="I37" s="117"/>
      <c r="J37" s="117"/>
      <c r="K37" s="117"/>
      <c r="L37" s="122">
        <f>SUM(L29,L35)</f>
        <v>1922.5524801339504</v>
      </c>
      <c r="M37" s="117"/>
      <c r="N37" s="117" t="s">
        <v>320</v>
      </c>
      <c r="O37" s="117"/>
      <c r="P37" s="117"/>
      <c r="Q37" s="117"/>
      <c r="R37" s="117"/>
      <c r="S37" s="117"/>
      <c r="T37" s="117"/>
      <c r="U37" s="117"/>
    </row>
    <row r="38" spans="1:21" ht="12.75" customHeight="1" x14ac:dyDescent="0.25">
      <c r="A38" s="129"/>
      <c r="B38" s="129"/>
      <c r="C38" s="129"/>
      <c r="D38" s="129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</row>
    <row r="39" spans="1:21" ht="12.75" customHeight="1" x14ac:dyDescent="0.25">
      <c r="A39" s="117" t="s">
        <v>285</v>
      </c>
      <c r="B39" s="129"/>
      <c r="C39" s="129"/>
      <c r="D39" s="129"/>
      <c r="E39" s="255">
        <f>+E33/L31</f>
        <v>6.3709564166779336</v>
      </c>
      <c r="F39" s="117"/>
      <c r="G39" s="117"/>
      <c r="H39" s="117" t="s">
        <v>286</v>
      </c>
      <c r="I39" s="117"/>
      <c r="J39" s="117"/>
      <c r="K39" s="117"/>
      <c r="L39" s="254">
        <f>(L33*E23-L21)/(L33+L21)</f>
        <v>1.1489742412945342E-2</v>
      </c>
      <c r="M39" s="117"/>
      <c r="N39" s="117" t="s">
        <v>402</v>
      </c>
      <c r="O39" s="117"/>
      <c r="P39" s="117"/>
      <c r="Q39" s="117"/>
      <c r="R39" s="117"/>
      <c r="S39" s="117"/>
      <c r="T39" s="117"/>
      <c r="U39" s="117"/>
    </row>
    <row r="40" spans="1:21" ht="12.75" customHeight="1" x14ac:dyDescent="0.25">
      <c r="A40" s="117"/>
      <c r="B40" s="129"/>
      <c r="C40" s="129"/>
      <c r="D40" s="129"/>
      <c r="E40" s="135"/>
      <c r="F40" s="117"/>
      <c r="G40" s="117"/>
      <c r="H40" s="117"/>
      <c r="I40" s="117"/>
      <c r="J40" s="117"/>
      <c r="K40" s="117"/>
      <c r="L40" s="117"/>
      <c r="M40" s="117"/>
      <c r="N40" s="272" t="s">
        <v>403</v>
      </c>
      <c r="O40" s="117"/>
      <c r="P40" s="117"/>
      <c r="Q40" s="117"/>
      <c r="R40" s="117"/>
      <c r="S40" s="117"/>
      <c r="T40" s="117"/>
      <c r="U40" s="117"/>
    </row>
    <row r="41" spans="1:21" ht="12.75" customHeight="1" x14ac:dyDescent="0.25">
      <c r="A41" s="117"/>
      <c r="B41" s="129"/>
      <c r="C41" s="129"/>
      <c r="D41" s="129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</row>
    <row r="42" spans="1:21" ht="12.75" customHeight="1" x14ac:dyDescent="0.25">
      <c r="A42" s="129"/>
      <c r="B42" s="129"/>
      <c r="C42" s="129"/>
      <c r="D42" s="129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</row>
    <row r="43" spans="1:21" ht="12.75" customHeight="1" x14ac:dyDescent="0.25">
      <c r="A43" s="117"/>
      <c r="B43" s="129"/>
      <c r="C43" s="129"/>
      <c r="D43" s="129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</row>
    <row r="44" spans="1:21" x14ac:dyDescent="0.25">
      <c r="A44" s="117"/>
      <c r="B44" s="117"/>
      <c r="C44" s="117"/>
      <c r="D44" s="117"/>
      <c r="E44" s="6"/>
      <c r="F44" s="123"/>
      <c r="G44" s="117"/>
      <c r="H44" s="117"/>
      <c r="I44" s="117"/>
      <c r="J44" s="117"/>
      <c r="K44" s="117"/>
      <c r="L44" s="117"/>
      <c r="M44" s="117"/>
      <c r="N44" s="117"/>
    </row>
  </sheetData>
  <mergeCells count="1">
    <mergeCell ref="N32:U32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7"/>
  <sheetViews>
    <sheetView showGridLines="0" zoomScale="85" zoomScaleNormal="85" zoomScaleSheetLayoutView="85" workbookViewId="0"/>
  </sheetViews>
  <sheetFormatPr defaultColWidth="9.140625" defaultRowHeight="14.25" x14ac:dyDescent="0.25"/>
  <cols>
    <col min="1" max="1" width="11.42578125" style="19" customWidth="1"/>
    <col min="2" max="3" width="11.85546875" style="19" customWidth="1"/>
    <col min="4" max="4" width="11.7109375" style="19" customWidth="1"/>
    <col min="5" max="6" width="11.85546875" style="19" customWidth="1"/>
    <col min="7" max="7" width="2.140625" style="19" customWidth="1"/>
    <col min="8" max="8" width="11.85546875" style="19" customWidth="1"/>
    <col min="9" max="9" width="2.140625" style="19" customWidth="1"/>
    <col min="10" max="10" width="11.85546875" style="19" customWidth="1"/>
    <col min="11" max="11" width="2.140625" style="19" customWidth="1"/>
    <col min="12" max="12" width="11.85546875" style="19" customWidth="1"/>
    <col min="13" max="13" width="2.140625" style="19" customWidth="1"/>
    <col min="14" max="14" width="11.85546875" style="19" customWidth="1"/>
    <col min="15" max="15" width="2.7109375" style="19" customWidth="1"/>
    <col min="16" max="16" width="40.7109375" style="19" customWidth="1"/>
    <col min="17" max="17" width="12.7109375" style="19" customWidth="1"/>
    <col min="18" max="16384" width="9.140625" style="19"/>
  </cols>
  <sheetData>
    <row r="1" spans="1:16" s="1" customFormat="1" ht="18" customHeight="1" x14ac:dyDescent="0.25">
      <c r="A1" s="3" t="s">
        <v>219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21" t="s">
        <v>2</v>
      </c>
      <c r="O1" s="117"/>
      <c r="P1" s="117"/>
    </row>
    <row r="2" spans="1:16" s="1" customFormat="1" ht="15.95" customHeight="1" thickBot="1" x14ac:dyDescent="0.3">
      <c r="A2" s="4" t="s">
        <v>146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22" t="s">
        <v>215</v>
      </c>
      <c r="O2" s="117"/>
      <c r="P2" s="117"/>
    </row>
    <row r="3" spans="1:16" s="1" customFormat="1" ht="12.7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</row>
    <row r="4" spans="1:16" s="1" customFormat="1" ht="12.75" customHeight="1" x14ac:dyDescent="0.25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</row>
    <row r="5" spans="1:16" s="1" customFormat="1" ht="12.75" customHeight="1" x14ac:dyDescent="0.25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</row>
    <row r="6" spans="1:16" s="1" customFormat="1" ht="12.75" customHeight="1" x14ac:dyDescent="0.25">
      <c r="A6" s="117"/>
      <c r="B6" s="117"/>
      <c r="C6" s="117"/>
      <c r="D6" s="2" t="s">
        <v>147</v>
      </c>
      <c r="E6" s="103"/>
      <c r="F6" s="2" t="s">
        <v>148</v>
      </c>
      <c r="G6" s="103"/>
      <c r="H6" s="2" t="s">
        <v>149</v>
      </c>
      <c r="I6" s="103"/>
      <c r="J6" s="2" t="s">
        <v>150</v>
      </c>
      <c r="K6" s="103"/>
      <c r="L6" s="2" t="s">
        <v>151</v>
      </c>
      <c r="M6" s="103"/>
      <c r="N6" s="2" t="s">
        <v>152</v>
      </c>
      <c r="O6" s="117"/>
      <c r="P6" s="117"/>
    </row>
    <row r="7" spans="1:16" s="1" customFormat="1" ht="12.75" customHeight="1" x14ac:dyDescent="0.25">
      <c r="A7" s="117"/>
      <c r="B7" s="117"/>
      <c r="C7" s="117"/>
      <c r="D7" s="104" t="s">
        <v>153</v>
      </c>
      <c r="E7" s="104" t="s">
        <v>154</v>
      </c>
      <c r="F7" s="104" t="s">
        <v>155</v>
      </c>
      <c r="G7" s="105" t="s">
        <v>156</v>
      </c>
      <c r="H7" s="104" t="s">
        <v>157</v>
      </c>
      <c r="I7" s="105" t="s">
        <v>158</v>
      </c>
      <c r="J7" s="104" t="s">
        <v>155</v>
      </c>
      <c r="K7" s="105" t="s">
        <v>159</v>
      </c>
      <c r="L7" s="104" t="s">
        <v>160</v>
      </c>
      <c r="M7" s="105" t="s">
        <v>158</v>
      </c>
      <c r="N7" s="104" t="s">
        <v>161</v>
      </c>
      <c r="O7" s="117"/>
      <c r="P7" s="27" t="s">
        <v>6</v>
      </c>
    </row>
    <row r="8" spans="1:16" s="1" customFormat="1" ht="12.75" customHeight="1" x14ac:dyDescent="0.25">
      <c r="A8" s="100" t="s">
        <v>162</v>
      </c>
      <c r="B8" s="129"/>
      <c r="C8" s="12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29"/>
      <c r="P8" s="117"/>
    </row>
    <row r="9" spans="1:16" s="1" customFormat="1" ht="3" customHeight="1" x14ac:dyDescent="0.25">
      <c r="A9" s="129"/>
      <c r="B9" s="129"/>
      <c r="C9" s="12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29"/>
      <c r="P9" s="117"/>
    </row>
    <row r="10" spans="1:16" s="1" customFormat="1" ht="12.75" customHeight="1" x14ac:dyDescent="0.25">
      <c r="A10" s="129" t="s">
        <v>406</v>
      </c>
      <c r="B10" s="129"/>
      <c r="C10" s="129"/>
      <c r="D10" s="109">
        <f>'Income Statement'!$H$10</f>
        <v>1525.8388749999999</v>
      </c>
      <c r="E10" s="291">
        <v>1</v>
      </c>
      <c r="F10" s="150">
        <f>D10*E10</f>
        <v>1525.8388749999999</v>
      </c>
      <c r="G10" s="149"/>
      <c r="H10" s="109">
        <f>+'Balance Sheet'!$G$37</f>
        <v>602.0949777439946</v>
      </c>
      <c r="I10" s="149"/>
      <c r="J10" s="150">
        <f>F10-H10</f>
        <v>923.74389725600531</v>
      </c>
      <c r="K10" s="149"/>
      <c r="L10" s="199">
        <f>+'Public Comps'!$D$25</f>
        <v>14.568283555966271</v>
      </c>
      <c r="M10" s="149"/>
      <c r="N10" s="151">
        <f>J10/L10</f>
        <v>63.407874627597892</v>
      </c>
      <c r="O10" s="129"/>
      <c r="P10" s="117" t="s">
        <v>163</v>
      </c>
    </row>
    <row r="11" spans="1:16" s="1" customFormat="1" ht="12.75" customHeight="1" x14ac:dyDescent="0.25">
      <c r="A11" s="129" t="s">
        <v>407</v>
      </c>
      <c r="B11" s="129"/>
      <c r="C11" s="129"/>
      <c r="D11" s="110">
        <f>Debt!$H$42</f>
        <v>283.80603074999999</v>
      </c>
      <c r="E11" s="291">
        <v>5</v>
      </c>
      <c r="F11" s="152">
        <f>D11*E11</f>
        <v>1419.03015375</v>
      </c>
      <c r="G11" s="149"/>
      <c r="H11" s="110">
        <f>+'Balance Sheet'!$G$37</f>
        <v>602.0949777439946</v>
      </c>
      <c r="I11" s="149"/>
      <c r="J11" s="152">
        <f>F11-H11</f>
        <v>816.93517600600535</v>
      </c>
      <c r="K11" s="149"/>
      <c r="L11" s="199">
        <f>+'Public Comps'!$D$25</f>
        <v>14.568283555966271</v>
      </c>
      <c r="M11" s="149"/>
      <c r="N11" s="153">
        <f>J11/L11</f>
        <v>56.076281935866014</v>
      </c>
      <c r="O11" s="129"/>
      <c r="P11" s="117" t="s">
        <v>164</v>
      </c>
    </row>
    <row r="12" spans="1:16" s="1" customFormat="1" ht="12.75" customHeight="1" x14ac:dyDescent="0.25">
      <c r="A12" s="129" t="s">
        <v>408</v>
      </c>
      <c r="B12" s="129"/>
      <c r="C12" s="129"/>
      <c r="D12" s="110">
        <f ca="1">'Income Statement'!H25</f>
        <v>94.717135989674063</v>
      </c>
      <c r="E12" s="291">
        <v>9.5</v>
      </c>
      <c r="F12" s="152">
        <f ca="1">H12+J12</f>
        <v>1501.907769645898</v>
      </c>
      <c r="G12" s="149"/>
      <c r="H12" s="110">
        <f>+'Balance Sheet'!$G$37</f>
        <v>602.0949777439946</v>
      </c>
      <c r="I12" s="149"/>
      <c r="J12" s="152">
        <f ca="1">D12*E12</f>
        <v>899.81279190190355</v>
      </c>
      <c r="K12" s="149"/>
      <c r="L12" s="199">
        <f>+'Public Comps'!$D$25</f>
        <v>14.568283555966271</v>
      </c>
      <c r="M12" s="149"/>
      <c r="N12" s="153">
        <f ca="1">J12/L12</f>
        <v>61.765189320014002</v>
      </c>
      <c r="O12" s="129"/>
      <c r="P12" s="117" t="s">
        <v>165</v>
      </c>
    </row>
    <row r="13" spans="1:16" s="1" customFormat="1" ht="12.75" customHeight="1" x14ac:dyDescent="0.25">
      <c r="A13" s="129"/>
      <c r="B13" s="129"/>
      <c r="C13" s="129"/>
      <c r="D13" s="149"/>
      <c r="E13" s="149"/>
      <c r="F13" s="149"/>
      <c r="G13" s="149"/>
      <c r="H13" s="149"/>
      <c r="I13" s="149"/>
      <c r="J13" s="149"/>
      <c r="K13" s="149"/>
      <c r="L13" s="200"/>
      <c r="M13" s="149"/>
      <c r="N13" s="149"/>
      <c r="O13" s="129"/>
      <c r="P13" s="117"/>
    </row>
    <row r="14" spans="1:16" s="1" customFormat="1" ht="12.75" customHeight="1" x14ac:dyDescent="0.25">
      <c r="A14" s="100" t="s">
        <v>166</v>
      </c>
      <c r="B14" s="129"/>
      <c r="C14" s="129"/>
      <c r="D14" s="149"/>
      <c r="E14" s="149"/>
      <c r="F14" s="149"/>
      <c r="G14" s="149"/>
      <c r="H14" s="149"/>
      <c r="I14" s="149"/>
      <c r="J14" s="149"/>
      <c r="K14" s="149"/>
      <c r="L14" s="200"/>
      <c r="M14" s="149"/>
      <c r="N14" s="149"/>
      <c r="O14" s="129"/>
      <c r="P14" s="117"/>
    </row>
    <row r="15" spans="1:16" s="1" customFormat="1" ht="3" customHeight="1" x14ac:dyDescent="0.25">
      <c r="A15" s="129"/>
      <c r="B15" s="129"/>
      <c r="C15" s="129"/>
      <c r="D15" s="149"/>
      <c r="E15" s="149"/>
      <c r="F15" s="149"/>
      <c r="G15" s="149"/>
      <c r="H15" s="149"/>
      <c r="I15" s="149"/>
      <c r="J15" s="149"/>
      <c r="K15" s="149"/>
      <c r="L15" s="200"/>
      <c r="M15" s="149"/>
      <c r="N15" s="149"/>
      <c r="O15" s="129"/>
      <c r="P15" s="117"/>
    </row>
    <row r="16" spans="1:16" s="1" customFormat="1" ht="12.75" customHeight="1" x14ac:dyDescent="0.25">
      <c r="A16" s="129" t="s">
        <v>356</v>
      </c>
      <c r="B16" s="129"/>
      <c r="C16" s="129"/>
      <c r="D16" s="109">
        <f>'Income Statement'!$G$10</f>
        <v>1419.385</v>
      </c>
      <c r="E16" s="291">
        <v>1.3</v>
      </c>
      <c r="F16" s="150">
        <f>D16*E16</f>
        <v>1845.2005000000001</v>
      </c>
      <c r="G16" s="149"/>
      <c r="H16" s="109">
        <f>+'Balance Sheet'!$G$37</f>
        <v>602.0949777439946</v>
      </c>
      <c r="I16" s="149"/>
      <c r="J16" s="150">
        <f>F16-H16</f>
        <v>1243.1055222560055</v>
      </c>
      <c r="K16" s="149"/>
      <c r="L16" s="199">
        <f>+'Public Comps'!$D$25</f>
        <v>14.568283555966271</v>
      </c>
      <c r="M16" s="149"/>
      <c r="N16" s="151">
        <f>J16/L16</f>
        <v>85.329580350384248</v>
      </c>
      <c r="O16" s="129"/>
      <c r="P16" s="117" t="s">
        <v>163</v>
      </c>
    </row>
    <row r="17" spans="1:16" s="1" customFormat="1" ht="12.75" customHeight="1" x14ac:dyDescent="0.25">
      <c r="A17" s="129" t="s">
        <v>357</v>
      </c>
      <c r="B17" s="129"/>
      <c r="C17" s="129"/>
      <c r="D17" s="110">
        <f>+'Income Statement'!G14-'PP&amp;E'!G12</f>
        <v>250.67300000000003</v>
      </c>
      <c r="E17" s="291">
        <v>8</v>
      </c>
      <c r="F17" s="152">
        <f>D17*E17</f>
        <v>2005.3840000000002</v>
      </c>
      <c r="G17" s="149"/>
      <c r="H17" s="110">
        <f>+'Balance Sheet'!$G$37</f>
        <v>602.0949777439946</v>
      </c>
      <c r="I17" s="149"/>
      <c r="J17" s="152">
        <f>F17-H17</f>
        <v>1403.2890222560056</v>
      </c>
      <c r="K17" s="149"/>
      <c r="L17" s="199">
        <f>+'Public Comps'!$D$25</f>
        <v>14.568283555966271</v>
      </c>
      <c r="M17" s="149"/>
      <c r="N17" s="153">
        <f>J17/L17</f>
        <v>96.32493882103941</v>
      </c>
      <c r="O17" s="129"/>
      <c r="P17" s="117" t="s">
        <v>164</v>
      </c>
    </row>
    <row r="18" spans="1:16" s="1" customFormat="1" ht="12.75" customHeight="1" x14ac:dyDescent="0.25">
      <c r="A18" s="129"/>
      <c r="B18" s="129"/>
      <c r="C18" s="129"/>
      <c r="D18" s="149"/>
      <c r="E18" s="149"/>
      <c r="F18" s="149"/>
      <c r="G18" s="149"/>
      <c r="H18" s="149"/>
      <c r="I18" s="149"/>
      <c r="J18" s="149"/>
      <c r="K18" s="149"/>
      <c r="L18" s="200"/>
      <c r="M18" s="149"/>
      <c r="N18" s="149"/>
      <c r="O18" s="129"/>
      <c r="P18" s="117"/>
    </row>
    <row r="19" spans="1:16" s="1" customFormat="1" ht="12.75" customHeight="1" x14ac:dyDescent="0.25">
      <c r="A19" s="100" t="s">
        <v>127</v>
      </c>
      <c r="B19" s="129"/>
      <c r="C19" s="129"/>
      <c r="D19" s="149"/>
      <c r="E19" s="149"/>
      <c r="F19" s="149"/>
      <c r="G19" s="149"/>
      <c r="H19" s="149"/>
      <c r="I19" s="149"/>
      <c r="J19" s="149"/>
      <c r="K19" s="149"/>
      <c r="L19" s="200"/>
      <c r="M19" s="149"/>
      <c r="N19" s="149"/>
      <c r="O19" s="129"/>
      <c r="P19" s="117"/>
    </row>
    <row r="20" spans="1:16" s="1" customFormat="1" ht="3" customHeight="1" x14ac:dyDescent="0.25">
      <c r="A20" s="129"/>
      <c r="B20" s="129"/>
      <c r="C20" s="129"/>
      <c r="D20" s="149"/>
      <c r="E20" s="149"/>
      <c r="F20" s="149"/>
      <c r="G20" s="149"/>
      <c r="H20" s="149"/>
      <c r="I20" s="149"/>
      <c r="J20" s="149"/>
      <c r="K20" s="149"/>
      <c r="L20" s="200"/>
      <c r="M20" s="149"/>
      <c r="N20" s="149"/>
      <c r="O20" s="129"/>
      <c r="P20" s="117"/>
    </row>
    <row r="21" spans="1:16" s="1" customFormat="1" ht="12.75" customHeight="1" x14ac:dyDescent="0.25">
      <c r="A21" s="129" t="s">
        <v>139</v>
      </c>
      <c r="B21" s="129"/>
      <c r="C21" s="129"/>
      <c r="D21" s="149"/>
      <c r="E21" s="149"/>
      <c r="F21" s="109">
        <f>DCF!$E$37</f>
        <v>2160.6038720506631</v>
      </c>
      <c r="G21" s="149"/>
      <c r="H21" s="109">
        <f>+'Balance Sheet'!$G$37</f>
        <v>602.0949777439946</v>
      </c>
      <c r="I21" s="149"/>
      <c r="J21" s="150">
        <f>F21-H21</f>
        <v>1558.5088943066685</v>
      </c>
      <c r="K21" s="149"/>
      <c r="L21" s="199">
        <f>+'Public Comps'!$D$25</f>
        <v>14.568283555966271</v>
      </c>
      <c r="M21" s="149"/>
      <c r="N21" s="154">
        <f>J21/L21</f>
        <v>106.97958261997168</v>
      </c>
      <c r="O21" s="129"/>
      <c r="P21" s="117" t="s">
        <v>167</v>
      </c>
    </row>
    <row r="22" spans="1:16" s="1" customFormat="1" ht="12.75" customHeight="1" x14ac:dyDescent="0.25">
      <c r="A22" s="129" t="s">
        <v>140</v>
      </c>
      <c r="B22" s="129"/>
      <c r="C22" s="129"/>
      <c r="D22" s="149"/>
      <c r="E22" s="149"/>
      <c r="F22" s="110">
        <f>DCF!$L$37</f>
        <v>1922.5524801339504</v>
      </c>
      <c r="G22" s="149"/>
      <c r="H22" s="110">
        <f>+'Balance Sheet'!$G$37</f>
        <v>602.0949777439946</v>
      </c>
      <c r="I22" s="149"/>
      <c r="J22" s="152">
        <f>F22-H22</f>
        <v>1320.4575023899558</v>
      </c>
      <c r="K22" s="149"/>
      <c r="L22" s="199">
        <f>+'Public Comps'!$D$25</f>
        <v>14.568283555966271</v>
      </c>
      <c r="M22" s="149"/>
      <c r="N22" s="153">
        <f>J22/L22</f>
        <v>90.639195572849616</v>
      </c>
      <c r="O22" s="129"/>
      <c r="P22" s="117"/>
    </row>
    <row r="23" spans="1:16" s="1" customFormat="1" ht="12.75" customHeight="1" x14ac:dyDescent="0.25">
      <c r="A23" s="129"/>
      <c r="B23" s="129"/>
      <c r="C23" s="129"/>
      <c r="D23" s="149"/>
      <c r="E23" s="149"/>
      <c r="F23" s="149"/>
      <c r="G23" s="149"/>
      <c r="H23" s="149"/>
      <c r="I23" s="149"/>
      <c r="J23" s="149"/>
      <c r="K23" s="149"/>
      <c r="L23" s="200"/>
      <c r="M23" s="149"/>
      <c r="N23" s="149"/>
      <c r="O23" s="129"/>
      <c r="P23" s="117"/>
    </row>
    <row r="24" spans="1:16" s="1" customFormat="1" ht="12.75" customHeight="1" x14ac:dyDescent="0.25">
      <c r="A24" s="111" t="s">
        <v>168</v>
      </c>
      <c r="B24" s="112"/>
      <c r="C24" s="112"/>
      <c r="D24" s="113"/>
      <c r="E24" s="113"/>
      <c r="F24" s="115">
        <f>H24+J24</f>
        <v>1523.3932298233017</v>
      </c>
      <c r="G24" s="113"/>
      <c r="H24" s="114">
        <f>+'Balance Sheet'!$G$37</f>
        <v>602.0949777439946</v>
      </c>
      <c r="I24" s="113"/>
      <c r="J24" s="115">
        <f>N24*L24</f>
        <v>921.29825207930708</v>
      </c>
      <c r="K24" s="113"/>
      <c r="L24" s="201">
        <f>+'Public Comps'!$D$25</f>
        <v>14.568283555966271</v>
      </c>
      <c r="M24" s="113"/>
      <c r="N24" s="282">
        <f>+'Public Comps'!C25</f>
        <v>63.24</v>
      </c>
      <c r="O24" s="129"/>
      <c r="P24" s="117" t="s">
        <v>169</v>
      </c>
    </row>
    <row r="25" spans="1:16" s="1" customFormat="1" ht="12.75" customHeight="1" x14ac:dyDescent="0.25">
      <c r="A25" s="129"/>
      <c r="B25" s="129"/>
      <c r="C25" s="12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29"/>
      <c r="P25" s="118"/>
    </row>
    <row r="26" spans="1:16" s="1" customFormat="1" ht="12.75" customHeight="1" x14ac:dyDescent="0.25">
      <c r="A26" s="129"/>
      <c r="B26" s="129"/>
      <c r="C26" s="12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29"/>
      <c r="P26" s="117"/>
    </row>
    <row r="27" spans="1:16" s="1" customFormat="1" ht="12.75" customHeight="1" x14ac:dyDescent="0.25">
      <c r="A27" s="117"/>
      <c r="B27" s="117"/>
      <c r="C27" s="117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17"/>
      <c r="P27" s="117"/>
    </row>
    <row r="28" spans="1:16" s="1" customFormat="1" ht="12.75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</row>
    <row r="29" spans="1:16" s="1" customFormat="1" ht="12.75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</row>
    <row r="30" spans="1:16" s="1" customFormat="1" ht="12.75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</row>
    <row r="31" spans="1:16" s="1" customFormat="1" ht="12.75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</row>
    <row r="32" spans="1:16" s="1" customFormat="1" ht="12.75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</row>
    <row r="33" spans="1:1" s="1" customFormat="1" ht="12.75" x14ac:dyDescent="0.25">
      <c r="A33" s="117"/>
    </row>
    <row r="34" spans="1:1" s="1" customFormat="1" ht="12.75" x14ac:dyDescent="0.25">
      <c r="A34" s="129"/>
    </row>
    <row r="35" spans="1:1" s="1" customFormat="1" ht="12.75" x14ac:dyDescent="0.25">
      <c r="A35" s="117"/>
    </row>
    <row r="36" spans="1:1" s="1" customFormat="1" ht="12.75" x14ac:dyDescent="0.25">
      <c r="A36" s="117"/>
    </row>
    <row r="37" spans="1:1" s="1" customFormat="1" ht="12.75" x14ac:dyDescent="0.25">
      <c r="A37" s="117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98"/>
  <sheetViews>
    <sheetView showGridLines="0" zoomScale="85" zoomScaleNormal="85" zoomScaleSheetLayoutView="85" workbookViewId="0"/>
  </sheetViews>
  <sheetFormatPr defaultColWidth="9.140625" defaultRowHeight="14.25" x14ac:dyDescent="0.2"/>
  <cols>
    <col min="1" max="1" width="4.140625" style="24" customWidth="1"/>
    <col min="2" max="10" width="6.7109375" style="24" customWidth="1"/>
    <col min="11" max="11" width="1.7109375" style="24" customWidth="1"/>
    <col min="12" max="21" width="6.7109375" style="24" customWidth="1"/>
    <col min="22" max="22" width="8.7109375" style="24" customWidth="1"/>
    <col min="23" max="16384" width="9.140625" style="24"/>
  </cols>
  <sheetData>
    <row r="1" spans="1:23" s="1" customFormat="1" ht="18" customHeight="1" x14ac:dyDescent="0.25">
      <c r="A1" s="3" t="s">
        <v>220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21" t="s">
        <v>2</v>
      </c>
      <c r="U1" s="117"/>
      <c r="V1" s="117"/>
      <c r="W1" s="117"/>
    </row>
    <row r="2" spans="1:23" s="1" customFormat="1" ht="15.95" customHeight="1" thickBot="1" x14ac:dyDescent="0.3">
      <c r="A2" s="4" t="s">
        <v>170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22" t="s">
        <v>215</v>
      </c>
      <c r="U2" s="117"/>
      <c r="V2" s="117"/>
      <c r="W2" s="117"/>
    </row>
    <row r="3" spans="1:23" s="29" customFormat="1" ht="10.35" customHeight="1" x14ac:dyDescent="0.25"/>
    <row r="4" spans="1:23" s="30" customFormat="1" ht="10.35" customHeight="1" x14ac:dyDescent="0.15">
      <c r="A4" s="70"/>
    </row>
    <row r="5" spans="1:23" s="29" customFormat="1" ht="10.35" customHeight="1" x14ac:dyDescent="0.25">
      <c r="F5" s="31"/>
      <c r="G5" s="31"/>
      <c r="H5" s="31"/>
      <c r="I5" s="31"/>
      <c r="J5" s="31"/>
      <c r="V5" s="32"/>
      <c r="W5" s="32"/>
    </row>
    <row r="6" spans="1:23" s="29" customFormat="1" ht="9.75" customHeight="1" x14ac:dyDescent="0.25">
      <c r="A6" s="33" t="s">
        <v>171</v>
      </c>
      <c r="B6" s="34"/>
      <c r="C6" s="34"/>
      <c r="D6" s="34"/>
      <c r="E6" s="34"/>
      <c r="F6" s="34"/>
      <c r="G6" s="35"/>
      <c r="H6" s="35"/>
      <c r="I6" s="35"/>
      <c r="J6" s="155"/>
      <c r="L6" s="33" t="s">
        <v>172</v>
      </c>
      <c r="M6" s="34"/>
      <c r="N6" s="34"/>
      <c r="O6" s="34"/>
      <c r="P6" s="34"/>
      <c r="Q6" s="34"/>
      <c r="R6" s="34"/>
      <c r="S6" s="34"/>
      <c r="T6" s="156"/>
      <c r="V6" s="32"/>
      <c r="W6" s="32"/>
    </row>
    <row r="7" spans="1:23" s="29" customFormat="1" ht="9.75" customHeight="1" x14ac:dyDescent="0.15">
      <c r="A7" s="55"/>
      <c r="B7" s="46"/>
      <c r="C7" s="46"/>
      <c r="D7" s="46"/>
      <c r="E7" s="157" t="s">
        <v>397</v>
      </c>
      <c r="F7" s="71" t="s">
        <v>4</v>
      </c>
      <c r="G7" s="36" t="s">
        <v>5</v>
      </c>
      <c r="H7" s="36" t="s">
        <v>333</v>
      </c>
      <c r="I7" s="36" t="s">
        <v>355</v>
      </c>
      <c r="J7" s="67" t="s">
        <v>398</v>
      </c>
      <c r="L7" s="45" t="s">
        <v>173</v>
      </c>
      <c r="M7" s="41"/>
      <c r="N7" s="41"/>
      <c r="O7" s="41"/>
      <c r="P7" s="41"/>
      <c r="Q7" s="41"/>
      <c r="R7" s="41"/>
      <c r="S7" s="46"/>
      <c r="T7" s="283">
        <f>+'Public Comps'!C25</f>
        <v>63.24</v>
      </c>
      <c r="V7" s="32"/>
      <c r="W7" s="37"/>
    </row>
    <row r="8" spans="1:23" s="29" customFormat="1" ht="9.75" customHeight="1" x14ac:dyDescent="0.15">
      <c r="A8" s="45" t="s">
        <v>8</v>
      </c>
      <c r="B8" s="41"/>
      <c r="C8" s="41"/>
      <c r="D8" s="41"/>
      <c r="E8" s="61">
        <f>'Income Statement'!G10</f>
        <v>1419.385</v>
      </c>
      <c r="F8" s="72">
        <f>'Income Statement'!H10</f>
        <v>1525.8388749999999</v>
      </c>
      <c r="G8" s="61">
        <f>'Income Statement'!I10</f>
        <v>1617.3892074999999</v>
      </c>
      <c r="H8" s="61">
        <f>'Income Statement'!J10</f>
        <v>1698.2586678749999</v>
      </c>
      <c r="I8" s="61">
        <f>'Income Statement'!K10</f>
        <v>1757.6977212506247</v>
      </c>
      <c r="J8" s="158">
        <f>'Income Statement'!L10</f>
        <v>1810.4286528881435</v>
      </c>
      <c r="L8" s="45" t="s">
        <v>174</v>
      </c>
      <c r="M8" s="41"/>
      <c r="N8" s="41"/>
      <c r="O8" s="41"/>
      <c r="P8" s="41"/>
      <c r="Q8" s="41"/>
      <c r="R8" s="41"/>
      <c r="S8" s="41"/>
      <c r="T8" s="292">
        <v>0.4</v>
      </c>
      <c r="V8" s="32"/>
      <c r="W8" s="32"/>
    </row>
    <row r="9" spans="1:23" s="30" customFormat="1" ht="9.75" customHeight="1" x14ac:dyDescent="0.15">
      <c r="A9" s="45" t="s">
        <v>175</v>
      </c>
      <c r="B9" s="41"/>
      <c r="C9" s="41"/>
      <c r="D9" s="41"/>
      <c r="E9" s="58">
        <f t="shared" ref="E9:J9" si="0">E8-E10</f>
        <v>1290.425</v>
      </c>
      <c r="F9" s="116">
        <f t="shared" si="0"/>
        <v>1379.3583429999999</v>
      </c>
      <c r="G9" s="58">
        <f t="shared" si="0"/>
        <v>1463.7372327874998</v>
      </c>
      <c r="H9" s="58">
        <f t="shared" si="0"/>
        <v>1533.5275770911248</v>
      </c>
      <c r="I9" s="58">
        <f t="shared" si="0"/>
        <v>1585.4433445680634</v>
      </c>
      <c r="J9" s="159">
        <f t="shared" si="0"/>
        <v>1631.1962162522173</v>
      </c>
      <c r="L9" s="48" t="s">
        <v>176</v>
      </c>
      <c r="M9" s="38"/>
      <c r="N9" s="38"/>
      <c r="O9" s="38"/>
      <c r="P9" s="38"/>
      <c r="Q9" s="38"/>
      <c r="R9" s="38"/>
      <c r="S9" s="38"/>
      <c r="T9" s="50">
        <f>T7*(1+T8)</f>
        <v>88.536000000000001</v>
      </c>
    </row>
    <row r="10" spans="1:23" s="30" customFormat="1" ht="9.75" customHeight="1" x14ac:dyDescent="0.15">
      <c r="A10" s="48" t="s">
        <v>177</v>
      </c>
      <c r="B10" s="38"/>
      <c r="C10" s="38"/>
      <c r="D10" s="38"/>
      <c r="E10" s="39">
        <f>'Income Statement'!G14</f>
        <v>128.96000000000004</v>
      </c>
      <c r="F10" s="74">
        <f>'Income Statement'!H14</f>
        <v>146.48053199999998</v>
      </c>
      <c r="G10" s="39">
        <f>'Income Statement'!I14</f>
        <v>153.65197471249999</v>
      </c>
      <c r="H10" s="39">
        <f>'Income Statement'!J14</f>
        <v>164.731090783875</v>
      </c>
      <c r="I10" s="39">
        <f>'Income Statement'!K14</f>
        <v>172.25437668256123</v>
      </c>
      <c r="J10" s="68">
        <f>'Income Statement'!L14</f>
        <v>179.23243663592621</v>
      </c>
      <c r="L10" s="45" t="s">
        <v>178</v>
      </c>
      <c r="M10" s="41"/>
      <c r="N10" s="41"/>
      <c r="O10" s="41"/>
      <c r="P10" s="41"/>
      <c r="Q10" s="41"/>
      <c r="R10" s="41"/>
      <c r="S10" s="44"/>
      <c r="T10" s="273">
        <f>+'Public Comps'!$D$25</f>
        <v>14.568283555966271</v>
      </c>
    </row>
    <row r="11" spans="1:23" s="30" customFormat="1" ht="9.75" customHeight="1" x14ac:dyDescent="0.15">
      <c r="A11" s="45" t="s">
        <v>13</v>
      </c>
      <c r="B11" s="41"/>
      <c r="C11" s="41"/>
      <c r="D11" s="41"/>
      <c r="E11" s="49">
        <f>'Income Statement'!G17</f>
        <v>24.00492879078525</v>
      </c>
      <c r="F11" s="116">
        <f ca="1">F53</f>
        <v>89.328401707218617</v>
      </c>
      <c r="G11" s="58">
        <f ca="1">G53</f>
        <v>87.578946747770544</v>
      </c>
      <c r="H11" s="58">
        <f ca="1">H53</f>
        <v>84.890730893163607</v>
      </c>
      <c r="I11" s="58">
        <f ca="1">I53</f>
        <v>81.306831048353743</v>
      </c>
      <c r="J11" s="159">
        <f ca="1">J53</f>
        <v>77.455350831662813</v>
      </c>
      <c r="L11" s="48" t="s">
        <v>179</v>
      </c>
      <c r="M11" s="38"/>
      <c r="N11" s="38"/>
      <c r="O11" s="38"/>
      <c r="P11" s="38"/>
      <c r="Q11" s="38"/>
      <c r="R11" s="38"/>
      <c r="S11" s="41"/>
      <c r="T11" s="51">
        <f>T9*T10</f>
        <v>1289.8175529110299</v>
      </c>
    </row>
    <row r="12" spans="1:23" s="30" customFormat="1" ht="9.75" customHeight="1" x14ac:dyDescent="0.15">
      <c r="A12" s="48" t="s">
        <v>16</v>
      </c>
      <c r="B12" s="38"/>
      <c r="C12" s="38"/>
      <c r="D12" s="38"/>
      <c r="E12" s="40">
        <f t="shared" ref="E12:J12" si="1">E10-E11</f>
        <v>104.95507120921479</v>
      </c>
      <c r="F12" s="75">
        <f t="shared" ca="1" si="1"/>
        <v>57.152130292781365</v>
      </c>
      <c r="G12" s="40">
        <f t="shared" ca="1" si="1"/>
        <v>66.073027964729448</v>
      </c>
      <c r="H12" s="40">
        <f t="shared" ca="1" si="1"/>
        <v>79.840359890711397</v>
      </c>
      <c r="I12" s="40">
        <f t="shared" ca="1" si="1"/>
        <v>90.947545634207486</v>
      </c>
      <c r="J12" s="51">
        <f t="shared" ca="1" si="1"/>
        <v>101.77708580426339</v>
      </c>
      <c r="L12" s="45" t="s">
        <v>180</v>
      </c>
      <c r="M12" s="41"/>
      <c r="N12" s="41"/>
      <c r="O12" s="41"/>
      <c r="P12" s="41"/>
      <c r="Q12" s="41"/>
      <c r="R12" s="41"/>
      <c r="S12" s="41"/>
      <c r="T12" s="160">
        <f>'Balance Sheet'!G24</f>
        <v>763.94200000000001</v>
      </c>
    </row>
    <row r="13" spans="1:23" s="30" customFormat="1" ht="9.75" customHeight="1" x14ac:dyDescent="0.15">
      <c r="A13" s="45" t="s">
        <v>131</v>
      </c>
      <c r="B13" s="47"/>
      <c r="C13" s="359">
        <f>'Income Statement'!H29</f>
        <v>0.26500000000000001</v>
      </c>
      <c r="D13" s="41"/>
      <c r="E13" s="62">
        <f t="shared" ref="E13:J13" si="2">E12*$C$13</f>
        <v>27.813093870441921</v>
      </c>
      <c r="F13" s="73">
        <f t="shared" ca="1" si="2"/>
        <v>15.145314527587063</v>
      </c>
      <c r="G13" s="62">
        <f t="shared" ca="1" si="2"/>
        <v>17.509352410653303</v>
      </c>
      <c r="H13" s="62">
        <f t="shared" ca="1" si="2"/>
        <v>21.157695371038521</v>
      </c>
      <c r="I13" s="62">
        <f t="shared" ca="1" si="2"/>
        <v>24.101099593064983</v>
      </c>
      <c r="J13" s="85">
        <f t="shared" ca="1" si="2"/>
        <v>26.970927738129802</v>
      </c>
      <c r="L13" s="45" t="s">
        <v>181</v>
      </c>
      <c r="M13" s="41"/>
      <c r="N13" s="41"/>
      <c r="O13" s="41"/>
      <c r="P13" s="41"/>
      <c r="Q13" s="41"/>
      <c r="R13" s="41"/>
      <c r="S13" s="41"/>
      <c r="T13" s="160">
        <f>-'Balance Sheet'!G10</f>
        <v>-161.84702225600537</v>
      </c>
    </row>
    <row r="14" spans="1:23" s="30" customFormat="1" ht="9.75" customHeight="1" x14ac:dyDescent="0.15">
      <c r="A14" s="48" t="s">
        <v>182</v>
      </c>
      <c r="B14" s="38"/>
      <c r="C14" s="38"/>
      <c r="D14" s="38"/>
      <c r="E14" s="40">
        <f t="shared" ref="E14:J14" si="3">E12-E13</f>
        <v>77.141977338772875</v>
      </c>
      <c r="F14" s="75">
        <f t="shared" ca="1" si="3"/>
        <v>42.006815765194304</v>
      </c>
      <c r="G14" s="40">
        <f t="shared" ca="1" si="3"/>
        <v>48.563675554076141</v>
      </c>
      <c r="H14" s="40">
        <f t="shared" ca="1" si="3"/>
        <v>58.682664519672876</v>
      </c>
      <c r="I14" s="40">
        <f t="shared" ca="1" si="3"/>
        <v>66.846446041142499</v>
      </c>
      <c r="J14" s="51">
        <f t="shared" ca="1" si="3"/>
        <v>74.806158066133591</v>
      </c>
      <c r="L14" s="48" t="s">
        <v>172</v>
      </c>
      <c r="M14" s="38"/>
      <c r="N14" s="38"/>
      <c r="O14" s="38"/>
      <c r="P14" s="38"/>
      <c r="Q14" s="38"/>
      <c r="R14" s="38"/>
      <c r="S14" s="38"/>
      <c r="T14" s="51">
        <f>SUM(T11:T13)</f>
        <v>1891.9125306550245</v>
      </c>
    </row>
    <row r="15" spans="1:23" s="30" customFormat="1" ht="9.75" customHeight="1" x14ac:dyDescent="0.15">
      <c r="A15" s="45"/>
      <c r="B15" s="41"/>
      <c r="C15" s="41"/>
      <c r="D15" s="41"/>
      <c r="E15" s="82"/>
      <c r="F15" s="41"/>
      <c r="G15" s="41"/>
      <c r="H15" s="41"/>
      <c r="I15" s="41"/>
      <c r="J15" s="82"/>
      <c r="L15" s="45"/>
      <c r="M15" s="41"/>
      <c r="N15" s="41"/>
      <c r="O15" s="41"/>
      <c r="P15" s="41"/>
      <c r="Q15" s="41"/>
      <c r="R15" s="41"/>
      <c r="S15" s="41"/>
      <c r="T15" s="82"/>
    </row>
    <row r="16" spans="1:23" s="30" customFormat="1" ht="9.75" customHeight="1" x14ac:dyDescent="0.15">
      <c r="A16" s="45" t="s">
        <v>183</v>
      </c>
      <c r="B16" s="41"/>
      <c r="C16" s="41"/>
      <c r="D16" s="41"/>
      <c r="E16" s="158">
        <f>-'PP&amp;E'!G12</f>
        <v>121.71299999999999</v>
      </c>
      <c r="F16" s="61">
        <f>-'PP&amp;E'!H12</f>
        <v>137.32549874999998</v>
      </c>
      <c r="G16" s="61">
        <f>-'PP&amp;E'!I12</f>
        <v>153.65197471249999</v>
      </c>
      <c r="H16" s="61">
        <f>-'PP&amp;E'!J12</f>
        <v>169.82586678749999</v>
      </c>
      <c r="I16" s="61">
        <f>-'PP&amp;E'!K12</f>
        <v>193.34674933756872</v>
      </c>
      <c r="J16" s="158">
        <f>-'PP&amp;E'!L12</f>
        <v>217.2514383465772</v>
      </c>
      <c r="L16" s="45" t="s">
        <v>357</v>
      </c>
      <c r="M16" s="41"/>
      <c r="N16" s="41"/>
      <c r="O16" s="41"/>
      <c r="P16" s="41"/>
      <c r="Q16" s="41"/>
      <c r="R16" s="41"/>
      <c r="S16" s="41"/>
      <c r="T16" s="83">
        <f>E16+E10</f>
        <v>250.67300000000003</v>
      </c>
    </row>
    <row r="17" spans="1:20" s="29" customFormat="1" ht="9.75" customHeight="1" x14ac:dyDescent="0.25">
      <c r="A17" s="55" t="s">
        <v>55</v>
      </c>
      <c r="B17" s="46"/>
      <c r="C17" s="46"/>
      <c r="D17" s="46"/>
      <c r="E17" s="161"/>
      <c r="F17" s="63">
        <f>-'Working Capital'!H20</f>
        <v>25.065093446061667</v>
      </c>
      <c r="G17" s="63">
        <f>-'Working Capital'!I20</f>
        <v>17.366345606763673</v>
      </c>
      <c r="H17" s="63">
        <f>-'Working Capital'!J20</f>
        <v>15.422902997938024</v>
      </c>
      <c r="I17" s="63">
        <f>-'Working Capital'!K20</f>
        <v>11.192468839894502</v>
      </c>
      <c r="J17" s="161">
        <f>-'Working Capital'!L20</f>
        <v>10.00262432671974</v>
      </c>
      <c r="L17" s="76" t="s">
        <v>142</v>
      </c>
      <c r="M17" s="77"/>
      <c r="N17" s="77"/>
      <c r="O17" s="77"/>
      <c r="P17" s="77"/>
      <c r="Q17" s="77"/>
      <c r="R17" s="77"/>
      <c r="S17" s="77"/>
      <c r="T17" s="78">
        <f>T14/T16</f>
        <v>7.547332702983665</v>
      </c>
    </row>
    <row r="18" spans="1:20" s="30" customFormat="1" ht="9.75" customHeight="1" x14ac:dyDescent="0.15">
      <c r="A18" s="45" t="s">
        <v>135</v>
      </c>
      <c r="B18" s="41"/>
      <c r="C18" s="41"/>
      <c r="D18" s="41"/>
      <c r="E18" s="160"/>
      <c r="F18" s="49">
        <f>-'PP&amp;E'!H11</f>
        <v>-167.84227625</v>
      </c>
      <c r="G18" s="49">
        <f>-'PP&amp;E'!I11</f>
        <v>-258.78227319999996</v>
      </c>
      <c r="H18" s="49">
        <f>-'PP&amp;E'!J11</f>
        <v>-169.82586678749999</v>
      </c>
      <c r="I18" s="49">
        <f>-'PP&amp;E'!K11</f>
        <v>-202.13523794382183</v>
      </c>
      <c r="J18" s="160">
        <f>-'PP&amp;E'!L11</f>
        <v>-217.2514383465772</v>
      </c>
    </row>
    <row r="19" spans="1:20" s="30" customFormat="1" ht="9.75" customHeight="1" x14ac:dyDescent="0.15">
      <c r="A19" s="45" t="s">
        <v>184</v>
      </c>
      <c r="B19" s="41"/>
      <c r="C19" s="41"/>
      <c r="D19" s="41"/>
      <c r="E19" s="82"/>
      <c r="F19" s="357">
        <f>-$T$21/$R$21</f>
        <v>-33.423066666666671</v>
      </c>
      <c r="G19" s="357">
        <f t="shared" ref="G19:J19" si="4">-$T$21/$R$21</f>
        <v>-33.423066666666671</v>
      </c>
      <c r="H19" s="357">
        <f t="shared" si="4"/>
        <v>-33.423066666666671</v>
      </c>
      <c r="I19" s="357">
        <f t="shared" si="4"/>
        <v>-33.423066666666671</v>
      </c>
      <c r="J19" s="358">
        <f t="shared" si="4"/>
        <v>-33.423066666666671</v>
      </c>
      <c r="L19" s="33" t="s">
        <v>185</v>
      </c>
      <c r="M19" s="34"/>
      <c r="N19" s="34"/>
      <c r="O19" s="34"/>
      <c r="P19" s="34"/>
      <c r="Q19" s="34"/>
      <c r="R19" s="34"/>
      <c r="S19" s="34"/>
      <c r="T19" s="156"/>
    </row>
    <row r="20" spans="1:20" s="30" customFormat="1" ht="9.75" customHeight="1" x14ac:dyDescent="0.15">
      <c r="A20" s="48" t="s">
        <v>186</v>
      </c>
      <c r="B20" s="38"/>
      <c r="C20" s="38"/>
      <c r="D20" s="38"/>
      <c r="E20" s="60"/>
      <c r="F20" s="40">
        <f ca="1">SUM(F14:F19)</f>
        <v>3.1320650445892966</v>
      </c>
      <c r="G20" s="40">
        <f ca="1">SUM(G14:G19)</f>
        <v>-72.623343993326841</v>
      </c>
      <c r="H20" s="40">
        <f ca="1">SUM(H14:H19)</f>
        <v>40.682500850944223</v>
      </c>
      <c r="I20" s="40">
        <f ca="1">SUM(I14:I19)</f>
        <v>35.827359608117206</v>
      </c>
      <c r="J20" s="51">
        <f ca="1">SUM(J14:J19)</f>
        <v>51.385715726186646</v>
      </c>
      <c r="L20" s="55"/>
      <c r="M20" s="46"/>
      <c r="N20" s="46"/>
      <c r="O20" s="46"/>
      <c r="P20" s="56" t="s">
        <v>344</v>
      </c>
      <c r="Q20" s="56" t="s">
        <v>187</v>
      </c>
      <c r="R20" s="56" t="s">
        <v>188</v>
      </c>
      <c r="S20" s="56" t="s">
        <v>189</v>
      </c>
      <c r="T20" s="162" t="s">
        <v>190</v>
      </c>
    </row>
    <row r="21" spans="1:20" s="30" customFormat="1" ht="9.75" customHeight="1" x14ac:dyDescent="0.15">
      <c r="A21" s="45" t="s">
        <v>390</v>
      </c>
      <c r="B21" s="41"/>
      <c r="C21" s="41"/>
      <c r="D21" s="41"/>
      <c r="E21" s="82"/>
      <c r="F21" s="64">
        <f ca="1">-IF(F20&gt;0,MIN(F20,F25),0)</f>
        <v>-3.1320650445892966</v>
      </c>
      <c r="G21" s="62">
        <f t="shared" ref="G21:J21" ca="1" si="5">-IF(G20&gt;0,MIN(G20,G25),0)</f>
        <v>0</v>
      </c>
      <c r="H21" s="62">
        <f t="shared" ca="1" si="5"/>
        <v>-40.682500850944223</v>
      </c>
      <c r="I21" s="62">
        <f t="shared" ca="1" si="5"/>
        <v>-35.827359608117206</v>
      </c>
      <c r="J21" s="85">
        <f t="shared" ca="1" si="5"/>
        <v>-51.385715726186646</v>
      </c>
      <c r="L21" s="45" t="s">
        <v>191</v>
      </c>
      <c r="M21" s="41"/>
      <c r="N21" s="41"/>
      <c r="O21" s="41"/>
      <c r="Q21" s="293">
        <v>4</v>
      </c>
      <c r="R21" s="356">
        <v>30</v>
      </c>
      <c r="S21" s="57">
        <f>T21/$T$24</f>
        <v>0.48212122771200983</v>
      </c>
      <c r="T21" s="163">
        <f>Q21*$T$16</f>
        <v>1002.6920000000001</v>
      </c>
    </row>
    <row r="22" spans="1:20" s="30" customFormat="1" ht="9.75" customHeight="1" x14ac:dyDescent="0.15">
      <c r="A22" s="48" t="s">
        <v>192</v>
      </c>
      <c r="B22" s="38"/>
      <c r="C22" s="38"/>
      <c r="D22" s="38"/>
      <c r="E22" s="60"/>
      <c r="F22" s="40">
        <f ca="1">SUM(F20:F21)</f>
        <v>0</v>
      </c>
      <c r="G22" s="40">
        <f ca="1">SUM(G20:G21)</f>
        <v>-72.623343993326841</v>
      </c>
      <c r="H22" s="40">
        <f ca="1">SUM(H20:H21)</f>
        <v>0</v>
      </c>
      <c r="I22" s="40">
        <f ca="1">SUM(I20:I21)</f>
        <v>0</v>
      </c>
      <c r="J22" s="51">
        <f ca="1">SUM(J20:J21)</f>
        <v>0</v>
      </c>
      <c r="L22" s="45" t="s">
        <v>193</v>
      </c>
      <c r="M22" s="41"/>
      <c r="N22" s="41"/>
      <c r="O22" s="41"/>
      <c r="Q22" s="293">
        <v>2</v>
      </c>
      <c r="R22" s="294"/>
      <c r="S22" s="57">
        <f>T22/$T$24</f>
        <v>0.24106061385600491</v>
      </c>
      <c r="T22" s="159">
        <f>Q22*$T$16</f>
        <v>501.34600000000006</v>
      </c>
    </row>
    <row r="23" spans="1:20" s="30" customFormat="1" ht="9.75" customHeight="1" x14ac:dyDescent="0.15">
      <c r="A23" s="45"/>
      <c r="B23" s="41"/>
      <c r="C23" s="41"/>
      <c r="D23" s="41"/>
      <c r="E23" s="41"/>
      <c r="F23" s="41"/>
      <c r="G23" s="41"/>
      <c r="H23" s="41"/>
      <c r="I23" s="41"/>
      <c r="J23" s="82"/>
      <c r="L23" s="45" t="s">
        <v>194</v>
      </c>
      <c r="M23" s="41"/>
      <c r="N23" s="41"/>
      <c r="O23" s="41"/>
      <c r="P23" s="41"/>
      <c r="Q23" s="41"/>
      <c r="R23" s="92"/>
      <c r="S23" s="57">
        <f>T23/$T$24</f>
        <v>0.27681815843198521</v>
      </c>
      <c r="T23" s="159">
        <f>T24-SUM(T21:T22)</f>
        <v>575.7127812681249</v>
      </c>
    </row>
    <row r="24" spans="1:20" s="30" customFormat="1" ht="9.75" customHeight="1" x14ac:dyDescent="0.15">
      <c r="A24" s="65" t="s">
        <v>110</v>
      </c>
      <c r="B24" s="41"/>
      <c r="C24" s="41"/>
      <c r="D24" s="41"/>
      <c r="E24" s="41"/>
      <c r="F24" s="41"/>
      <c r="G24" s="41"/>
      <c r="H24" s="41"/>
      <c r="I24" s="41"/>
      <c r="J24" s="82"/>
      <c r="L24" s="48" t="s">
        <v>195</v>
      </c>
      <c r="M24" s="38"/>
      <c r="N24" s="38"/>
      <c r="O24" s="38"/>
      <c r="P24" s="38"/>
      <c r="Q24" s="38"/>
      <c r="R24" s="88"/>
      <c r="S24" s="43">
        <f>T24/$T$24</f>
        <v>1</v>
      </c>
      <c r="T24" s="51">
        <f>T29</f>
        <v>2079.7507812681251</v>
      </c>
    </row>
    <row r="25" spans="1:20" s="30" customFormat="1" ht="9.75" customHeight="1" x14ac:dyDescent="0.15">
      <c r="A25" s="45" t="s">
        <v>322</v>
      </c>
      <c r="B25" s="41"/>
      <c r="C25" s="41"/>
      <c r="D25" s="41"/>
      <c r="E25" s="41"/>
      <c r="F25" s="42">
        <f>T21</f>
        <v>1002.6920000000001</v>
      </c>
      <c r="G25" s="42">
        <f t="shared" ref="G25:J26" ca="1" si="6">F33</f>
        <v>966.13686828874415</v>
      </c>
      <c r="H25" s="42">
        <f t="shared" ca="1" si="6"/>
        <v>932.71380162207743</v>
      </c>
      <c r="I25" s="42">
        <f t="shared" ca="1" si="6"/>
        <v>858.60823410446653</v>
      </c>
      <c r="J25" s="83">
        <f t="shared" ca="1" si="6"/>
        <v>789.35780782968266</v>
      </c>
      <c r="L25" s="45"/>
      <c r="M25" s="41"/>
      <c r="N25" s="41"/>
      <c r="O25" s="41"/>
      <c r="P25" s="41"/>
      <c r="Q25" s="41"/>
      <c r="R25" s="41"/>
      <c r="S25" s="41"/>
      <c r="T25" s="295"/>
    </row>
    <row r="26" spans="1:20" s="30" customFormat="1" ht="9.75" customHeight="1" x14ac:dyDescent="0.15">
      <c r="A26" s="45" t="s">
        <v>323</v>
      </c>
      <c r="B26" s="41"/>
      <c r="C26" s="41"/>
      <c r="D26" s="41"/>
      <c r="E26" s="41"/>
      <c r="F26" s="62">
        <f>T22</f>
        <v>501.34600000000006</v>
      </c>
      <c r="G26" s="62">
        <f t="shared" si="6"/>
        <v>501.34600000000006</v>
      </c>
      <c r="H26" s="62">
        <f t="shared" si="6"/>
        <v>501.34600000000006</v>
      </c>
      <c r="I26" s="62">
        <f t="shared" si="6"/>
        <v>501.34600000000006</v>
      </c>
      <c r="J26" s="85">
        <f t="shared" si="6"/>
        <v>501.34600000000006</v>
      </c>
      <c r="L26" s="45" t="s">
        <v>172</v>
      </c>
      <c r="M26" s="41"/>
      <c r="N26" s="41"/>
      <c r="O26" s="41"/>
      <c r="P26" s="41"/>
      <c r="Q26" s="41"/>
      <c r="R26" s="41"/>
      <c r="S26" s="57">
        <f>T26/$T$29</f>
        <v>0.90968232717837161</v>
      </c>
      <c r="T26" s="296">
        <f>T14</f>
        <v>1891.9125306550245</v>
      </c>
    </row>
    <row r="27" spans="1:20" s="30" customFormat="1" ht="9.75" customHeight="1" x14ac:dyDescent="0.15">
      <c r="A27" s="48" t="s">
        <v>196</v>
      </c>
      <c r="B27" s="38"/>
      <c r="C27" s="38"/>
      <c r="D27" s="38"/>
      <c r="E27" s="38"/>
      <c r="F27" s="40">
        <f>SUM(F25:F26)</f>
        <v>1504.0380000000002</v>
      </c>
      <c r="G27" s="40">
        <f ca="1">SUM(G25:G26)</f>
        <v>1467.4828682887442</v>
      </c>
      <c r="H27" s="40">
        <f ca="1">SUM(H25:H26)</f>
        <v>1434.0598016220774</v>
      </c>
      <c r="I27" s="40">
        <f ca="1">SUM(I25:I26)</f>
        <v>1359.9542341044667</v>
      </c>
      <c r="J27" s="51">
        <f ca="1">SUM(J25:J26)</f>
        <v>1290.7038078296828</v>
      </c>
      <c r="L27" s="45" t="s">
        <v>115</v>
      </c>
      <c r="M27" s="41"/>
      <c r="N27" s="41"/>
      <c r="O27" s="41"/>
      <c r="P27" s="41"/>
      <c r="Q27" s="41"/>
      <c r="R27" s="41"/>
      <c r="S27" s="57">
        <f>T27/$T$29</f>
        <v>7.2124026278060929E-2</v>
      </c>
      <c r="T27" s="297">
        <v>150</v>
      </c>
    </row>
    <row r="28" spans="1:20" s="30" customFormat="1" ht="9.75" customHeight="1" x14ac:dyDescent="0.15">
      <c r="A28" s="45"/>
      <c r="B28" s="41"/>
      <c r="C28" s="41"/>
      <c r="D28" s="41"/>
      <c r="E28" s="41"/>
      <c r="F28" s="41"/>
      <c r="G28" s="41"/>
      <c r="H28" s="41"/>
      <c r="I28" s="41"/>
      <c r="J28" s="82"/>
      <c r="L28" s="45" t="s">
        <v>197</v>
      </c>
      <c r="M28" s="41"/>
      <c r="N28" s="41"/>
      <c r="O28" s="41"/>
      <c r="P28" s="47">
        <v>0.02</v>
      </c>
      <c r="Q28" s="41"/>
      <c r="R28" s="41"/>
      <c r="S28" s="57">
        <f>T28/$T$29</f>
        <v>1.8193646543567431E-2</v>
      </c>
      <c r="T28" s="298">
        <f>T26*P28</f>
        <v>37.838250613100492</v>
      </c>
    </row>
    <row r="29" spans="1:20" s="30" customFormat="1" ht="9.75" customHeight="1" x14ac:dyDescent="0.15">
      <c r="A29" s="45" t="s">
        <v>392</v>
      </c>
      <c r="B29" s="41"/>
      <c r="C29" s="41"/>
      <c r="D29" s="41"/>
      <c r="E29" s="41"/>
      <c r="F29" s="90">
        <f ca="1">F21+F19</f>
        <v>-36.555131711255967</v>
      </c>
      <c r="G29" s="90">
        <f t="shared" ref="G29:J29" ca="1" si="7">G21+G19</f>
        <v>-33.423066666666671</v>
      </c>
      <c r="H29" s="90">
        <f t="shared" ca="1" si="7"/>
        <v>-74.105567517610893</v>
      </c>
      <c r="I29" s="90">
        <f t="shared" ca="1" si="7"/>
        <v>-69.250426274783877</v>
      </c>
      <c r="J29" s="163">
        <f t="shared" ca="1" si="7"/>
        <v>-84.808782392853317</v>
      </c>
      <c r="L29" s="48" t="s">
        <v>198</v>
      </c>
      <c r="M29" s="38"/>
      <c r="N29" s="38"/>
      <c r="O29" s="38"/>
      <c r="P29" s="38"/>
      <c r="Q29" s="38"/>
      <c r="R29" s="38"/>
      <c r="S29" s="43">
        <f>T29/$T$29</f>
        <v>1</v>
      </c>
      <c r="T29" s="299">
        <f>SUM(T26:T28)</f>
        <v>2079.7507812681251</v>
      </c>
    </row>
    <row r="30" spans="1:20" s="30" customFormat="1" ht="9.75" customHeight="1" x14ac:dyDescent="0.15">
      <c r="A30" s="45" t="s">
        <v>391</v>
      </c>
      <c r="B30" s="41"/>
      <c r="C30" s="41"/>
      <c r="D30" s="41"/>
      <c r="E30" s="41"/>
      <c r="F30" s="346">
        <v>0</v>
      </c>
      <c r="G30" s="346">
        <v>0</v>
      </c>
      <c r="H30" s="346">
        <v>0</v>
      </c>
      <c r="I30" s="346">
        <v>0</v>
      </c>
      <c r="J30" s="347">
        <v>0</v>
      </c>
      <c r="L30" s="45"/>
      <c r="M30" s="41"/>
      <c r="N30" s="41"/>
      <c r="O30" s="41"/>
      <c r="P30" s="41"/>
      <c r="Q30" s="41"/>
      <c r="R30" s="41"/>
      <c r="S30" s="41"/>
      <c r="T30" s="82"/>
    </row>
    <row r="31" spans="1:20" s="30" customFormat="1" ht="9.75" customHeight="1" x14ac:dyDescent="0.15">
      <c r="A31" s="48" t="s">
        <v>371</v>
      </c>
      <c r="B31" s="38"/>
      <c r="C31" s="38"/>
      <c r="D31" s="38"/>
      <c r="E31" s="38"/>
      <c r="F31" s="40">
        <f ca="1">SUM(F29:F30)</f>
        <v>-36.555131711255967</v>
      </c>
      <c r="G31" s="40">
        <f ca="1">SUM(G29:G30)</f>
        <v>-33.423066666666671</v>
      </c>
      <c r="H31" s="40">
        <f ca="1">SUM(H29:H30)</f>
        <v>-74.105567517610893</v>
      </c>
      <c r="I31" s="40">
        <f ca="1">SUM(I29:I30)</f>
        <v>-69.250426274783877</v>
      </c>
      <c r="J31" s="51">
        <f ca="1">SUM(J29:J30)</f>
        <v>-84.808782392853317</v>
      </c>
      <c r="L31" s="97" t="s">
        <v>113</v>
      </c>
      <c r="M31" s="44"/>
      <c r="N31" s="44"/>
      <c r="O31" s="44"/>
      <c r="P31" s="44"/>
      <c r="Q31" s="44"/>
      <c r="R31" s="44"/>
      <c r="S31" s="44"/>
      <c r="T31" s="99">
        <f>SUM(T21:T22)/T16</f>
        <v>6</v>
      </c>
    </row>
    <row r="32" spans="1:20" s="30" customFormat="1" ht="9.75" customHeight="1" x14ac:dyDescent="0.15">
      <c r="A32" s="45"/>
      <c r="B32" s="41"/>
      <c r="C32" s="41"/>
      <c r="D32" s="41"/>
      <c r="E32" s="41"/>
      <c r="F32" s="41"/>
      <c r="G32" s="41"/>
      <c r="H32" s="41"/>
      <c r="I32" s="41"/>
      <c r="J32" s="82"/>
    </row>
    <row r="33" spans="1:21" s="30" customFormat="1" ht="9.75" customHeight="1" x14ac:dyDescent="0.15">
      <c r="A33" s="45" t="s">
        <v>324</v>
      </c>
      <c r="B33" s="41"/>
      <c r="C33" s="41"/>
      <c r="D33" s="41"/>
      <c r="E33" s="41"/>
      <c r="F33" s="42">
        <f t="shared" ref="F33:J34" ca="1" si="8">F25+F29</f>
        <v>966.13686828874415</v>
      </c>
      <c r="G33" s="42">
        <f t="shared" ca="1" si="8"/>
        <v>932.71380162207743</v>
      </c>
      <c r="H33" s="42">
        <f t="shared" ca="1" si="8"/>
        <v>858.60823410446653</v>
      </c>
      <c r="I33" s="42">
        <f t="shared" ca="1" si="8"/>
        <v>789.35780782968266</v>
      </c>
      <c r="J33" s="83">
        <f t="shared" ca="1" si="8"/>
        <v>704.54902543682931</v>
      </c>
      <c r="L33" s="33" t="s">
        <v>199</v>
      </c>
      <c r="M33" s="34"/>
      <c r="N33" s="34"/>
      <c r="O33" s="34"/>
      <c r="P33" s="34"/>
      <c r="Q33" s="34"/>
      <c r="R33" s="34"/>
      <c r="S33" s="34"/>
      <c r="T33" s="156"/>
    </row>
    <row r="34" spans="1:21" s="30" customFormat="1" ht="9.75" customHeight="1" x14ac:dyDescent="0.15">
      <c r="A34" s="45" t="s">
        <v>325</v>
      </c>
      <c r="B34" s="41"/>
      <c r="C34" s="41"/>
      <c r="D34" s="41"/>
      <c r="E34" s="41"/>
      <c r="F34" s="62">
        <f t="shared" si="8"/>
        <v>501.34600000000006</v>
      </c>
      <c r="G34" s="62">
        <f t="shared" si="8"/>
        <v>501.34600000000006</v>
      </c>
      <c r="H34" s="62">
        <f t="shared" si="8"/>
        <v>501.34600000000006</v>
      </c>
      <c r="I34" s="62">
        <f t="shared" si="8"/>
        <v>501.34600000000006</v>
      </c>
      <c r="J34" s="85">
        <f t="shared" si="8"/>
        <v>501.34600000000006</v>
      </c>
      <c r="L34" s="54"/>
      <c r="M34" s="38"/>
      <c r="N34" s="38"/>
      <c r="O34" s="38"/>
      <c r="P34" s="79" t="s">
        <v>4</v>
      </c>
      <c r="Q34" s="79" t="s">
        <v>5</v>
      </c>
      <c r="R34" s="79" t="s">
        <v>333</v>
      </c>
      <c r="S34" s="79" t="s">
        <v>355</v>
      </c>
      <c r="T34" s="81" t="s">
        <v>398</v>
      </c>
    </row>
    <row r="35" spans="1:21" s="30" customFormat="1" ht="9.75" customHeight="1" x14ac:dyDescent="0.15">
      <c r="A35" s="48" t="s">
        <v>200</v>
      </c>
      <c r="B35" s="38"/>
      <c r="C35" s="38"/>
      <c r="D35" s="38"/>
      <c r="E35" s="38"/>
      <c r="F35" s="40">
        <f ca="1">SUM(F33:F34)</f>
        <v>1467.4828682887442</v>
      </c>
      <c r="G35" s="40">
        <f ca="1">SUM(G33:G34)</f>
        <v>1434.0598016220774</v>
      </c>
      <c r="H35" s="40">
        <f ca="1">SUM(H33:H34)</f>
        <v>1359.9542341044667</v>
      </c>
      <c r="I35" s="40">
        <f ca="1">SUM(I33:I34)</f>
        <v>1290.7038078296828</v>
      </c>
      <c r="J35" s="51">
        <f ca="1">SUM(J33:J34)</f>
        <v>1205.8950254368294</v>
      </c>
      <c r="L35" s="45" t="s">
        <v>201</v>
      </c>
      <c r="M35" s="41"/>
      <c r="N35" s="41"/>
      <c r="O35" s="41"/>
      <c r="P35" s="89">
        <v>1</v>
      </c>
      <c r="Q35" s="89">
        <v>2</v>
      </c>
      <c r="R35" s="89">
        <v>3</v>
      </c>
      <c r="S35" s="89">
        <v>4</v>
      </c>
      <c r="T35" s="167">
        <v>5</v>
      </c>
    </row>
    <row r="36" spans="1:21" s="30" customFormat="1" ht="9.75" customHeight="1" x14ac:dyDescent="0.15">
      <c r="A36" s="66"/>
      <c r="B36" s="41"/>
      <c r="C36" s="41"/>
      <c r="D36" s="41"/>
      <c r="E36" s="41"/>
      <c r="F36" s="42"/>
      <c r="G36" s="42"/>
      <c r="H36" s="42"/>
      <c r="I36" s="42"/>
      <c r="J36" s="83"/>
      <c r="L36" s="45"/>
      <c r="M36" s="41"/>
      <c r="N36" s="41"/>
      <c r="O36" s="41"/>
      <c r="P36" s="42"/>
      <c r="Q36" s="42"/>
      <c r="R36" s="42"/>
      <c r="S36" s="42"/>
      <c r="T36" s="83"/>
    </row>
    <row r="37" spans="1:21" s="30" customFormat="1" ht="9.75" customHeight="1" x14ac:dyDescent="0.15">
      <c r="A37" s="65" t="s">
        <v>202</v>
      </c>
      <c r="B37" s="41"/>
      <c r="C37" s="41"/>
      <c r="D37" s="41"/>
      <c r="E37" s="41"/>
      <c r="F37" s="41"/>
      <c r="G37" s="41"/>
      <c r="H37" s="41"/>
      <c r="I37" s="41"/>
      <c r="J37" s="82"/>
      <c r="L37" s="45" t="s">
        <v>66</v>
      </c>
      <c r="M37" s="41"/>
      <c r="N37" s="41"/>
      <c r="O37" s="42"/>
      <c r="P37" s="300">
        <f>SUM(F10,F16)</f>
        <v>283.80603074999999</v>
      </c>
      <c r="Q37" s="42">
        <f>SUM(G10,G16)</f>
        <v>307.30394942499998</v>
      </c>
      <c r="R37" s="42">
        <f>SUM(H10,H16)</f>
        <v>334.55695757137499</v>
      </c>
      <c r="S37" s="42">
        <f>SUM(I10,I16)</f>
        <v>365.60112602012998</v>
      </c>
      <c r="T37" s="83">
        <f>SUM(J10,J16)</f>
        <v>396.48387498250338</v>
      </c>
    </row>
    <row r="38" spans="1:21" s="30" customFormat="1" ht="9.75" customHeight="1" x14ac:dyDescent="0.15">
      <c r="A38" s="45" t="s">
        <v>67</v>
      </c>
      <c r="B38" s="41"/>
      <c r="C38" s="41"/>
      <c r="D38" s="41"/>
      <c r="E38" s="41"/>
      <c r="F38" s="42">
        <f>T27</f>
        <v>150</v>
      </c>
      <c r="G38" s="42">
        <f ca="1">F40</f>
        <v>150</v>
      </c>
      <c r="H38" s="42">
        <f ca="1">G40</f>
        <v>77.376656006673159</v>
      </c>
      <c r="I38" s="42">
        <f ca="1">H40</f>
        <v>77.376656006673159</v>
      </c>
      <c r="J38" s="83">
        <f ca="1">I40</f>
        <v>77.376656006673159</v>
      </c>
      <c r="L38" s="45" t="s">
        <v>203</v>
      </c>
      <c r="M38" s="41"/>
      <c r="N38" s="41"/>
      <c r="O38" s="41"/>
      <c r="P38" s="301">
        <v>7</v>
      </c>
      <c r="Q38" s="86">
        <f>P38</f>
        <v>7</v>
      </c>
      <c r="R38" s="86">
        <f>Q38</f>
        <v>7</v>
      </c>
      <c r="S38" s="86">
        <f>R38</f>
        <v>7</v>
      </c>
      <c r="T38" s="94">
        <f>S38</f>
        <v>7</v>
      </c>
    </row>
    <row r="39" spans="1:21" s="30" customFormat="1" ht="9.75" customHeight="1" x14ac:dyDescent="0.15">
      <c r="A39" s="45" t="s">
        <v>204</v>
      </c>
      <c r="B39" s="41"/>
      <c r="C39" s="41"/>
      <c r="D39" s="41"/>
      <c r="E39" s="41"/>
      <c r="F39" s="62">
        <f ca="1">F22</f>
        <v>0</v>
      </c>
      <c r="G39" s="62">
        <f ca="1">G22</f>
        <v>-72.623343993326841</v>
      </c>
      <c r="H39" s="62">
        <f ca="1">H22</f>
        <v>0</v>
      </c>
      <c r="I39" s="62">
        <f ca="1">I22</f>
        <v>0</v>
      </c>
      <c r="J39" s="85">
        <f ca="1">J22</f>
        <v>0</v>
      </c>
      <c r="L39" s="48" t="s">
        <v>205</v>
      </c>
      <c r="M39" s="38"/>
      <c r="N39" s="38"/>
      <c r="O39" s="38"/>
      <c r="P39" s="95">
        <f>P37*P38</f>
        <v>1986.6422152499999</v>
      </c>
      <c r="Q39" s="95">
        <f>Q37*Q38</f>
        <v>2151.1276459749997</v>
      </c>
      <c r="R39" s="95">
        <f>R37*R38</f>
        <v>2341.8987029996251</v>
      </c>
      <c r="S39" s="95">
        <f>S37*S38</f>
        <v>2559.20788214091</v>
      </c>
      <c r="T39" s="96">
        <f>T37*T38</f>
        <v>2775.3871248775235</v>
      </c>
    </row>
    <row r="40" spans="1:21" s="30" customFormat="1" ht="9.75" customHeight="1" x14ac:dyDescent="0.15">
      <c r="A40" s="48" t="s">
        <v>200</v>
      </c>
      <c r="B40" s="38"/>
      <c r="C40" s="38"/>
      <c r="D40" s="38"/>
      <c r="E40" s="38"/>
      <c r="F40" s="40">
        <f ca="1">SUM(F38:F39)</f>
        <v>150</v>
      </c>
      <c r="G40" s="40">
        <f ca="1">SUM(G38:G39)</f>
        <v>77.376656006673159</v>
      </c>
      <c r="H40" s="40">
        <f ca="1">SUM(H38:H39)</f>
        <v>77.376656006673159</v>
      </c>
      <c r="I40" s="40">
        <f ca="1">SUM(I38:I39)</f>
        <v>77.376656006673159</v>
      </c>
      <c r="J40" s="51">
        <f ca="1">SUM(J38:J39)</f>
        <v>77.376656006673159</v>
      </c>
      <c r="L40" s="45"/>
      <c r="M40" s="41"/>
      <c r="N40" s="41"/>
      <c r="O40" s="41"/>
      <c r="P40" s="42"/>
      <c r="Q40" s="42"/>
      <c r="R40" s="42"/>
      <c r="S40" s="42"/>
      <c r="T40" s="83"/>
    </row>
    <row r="41" spans="1:21" s="30" customFormat="1" ht="9.75" customHeight="1" x14ac:dyDescent="0.15">
      <c r="A41" s="45"/>
      <c r="B41" s="41"/>
      <c r="C41" s="41"/>
      <c r="D41" s="41"/>
      <c r="E41" s="41"/>
      <c r="F41" s="41"/>
      <c r="G41" s="41"/>
      <c r="H41" s="41"/>
      <c r="I41" s="41"/>
      <c r="J41" s="82"/>
      <c r="L41" s="45" t="s">
        <v>157</v>
      </c>
      <c r="M41" s="41"/>
      <c r="N41" s="41"/>
      <c r="O41" s="41"/>
      <c r="P41" s="42">
        <f ca="1">F35</f>
        <v>1467.4828682887442</v>
      </c>
      <c r="Q41" s="42">
        <f ca="1">G35</f>
        <v>1434.0598016220774</v>
      </c>
      <c r="R41" s="42">
        <f ca="1">H35</f>
        <v>1359.9542341044667</v>
      </c>
      <c r="S41" s="42">
        <f ca="1">I35</f>
        <v>1290.7038078296828</v>
      </c>
      <c r="T41" s="83">
        <f ca="1">J35</f>
        <v>1205.8950254368294</v>
      </c>
    </row>
    <row r="42" spans="1:21" s="30" customFormat="1" ht="9.75" customHeight="1" x14ac:dyDescent="0.15">
      <c r="A42" s="65" t="s">
        <v>13</v>
      </c>
      <c r="B42" s="41"/>
      <c r="C42" s="41"/>
      <c r="D42" s="41"/>
      <c r="E42" s="41"/>
      <c r="F42" s="41"/>
      <c r="G42" s="41"/>
      <c r="H42" s="41"/>
      <c r="I42" s="41"/>
      <c r="J42" s="82"/>
      <c r="L42" s="45" t="s">
        <v>181</v>
      </c>
      <c r="M42" s="41"/>
      <c r="N42" s="41"/>
      <c r="O42" s="41"/>
      <c r="P42" s="62">
        <f ca="1">-F40</f>
        <v>-150</v>
      </c>
      <c r="Q42" s="62">
        <f ca="1">-G40</f>
        <v>-77.376656006673159</v>
      </c>
      <c r="R42" s="62">
        <f ca="1">-H40</f>
        <v>-77.376656006673159</v>
      </c>
      <c r="S42" s="62">
        <f ca="1">-I40</f>
        <v>-77.376656006673159</v>
      </c>
      <c r="T42" s="85">
        <f ca="1">-J40</f>
        <v>-77.376656006673159</v>
      </c>
    </row>
    <row r="43" spans="1:21" s="30" customFormat="1" ht="9.75" customHeight="1" x14ac:dyDescent="0.15">
      <c r="A43" s="45" t="s">
        <v>326</v>
      </c>
      <c r="B43" s="41"/>
      <c r="C43" s="41"/>
      <c r="D43" s="41"/>
      <c r="E43" s="41"/>
      <c r="F43" s="42">
        <f t="shared" ref="F43:J44" ca="1" si="9">AVERAGE(F25,F33)</f>
        <v>984.41443414437208</v>
      </c>
      <c r="G43" s="42">
        <f t="shared" ca="1" si="9"/>
        <v>949.42533495541079</v>
      </c>
      <c r="H43" s="42">
        <f t="shared" ca="1" si="9"/>
        <v>895.66101786327204</v>
      </c>
      <c r="I43" s="42">
        <f t="shared" ca="1" si="9"/>
        <v>823.98302096707459</v>
      </c>
      <c r="J43" s="83">
        <f t="shared" ca="1" si="9"/>
        <v>746.95341663325598</v>
      </c>
      <c r="L43" s="48" t="s">
        <v>50</v>
      </c>
      <c r="M43" s="38"/>
      <c r="N43" s="38"/>
      <c r="O43" s="38"/>
      <c r="P43" s="40">
        <f ca="1">SUM(P41:P42)</f>
        <v>1317.4828682887442</v>
      </c>
      <c r="Q43" s="40">
        <f ca="1">SUM(Q41:Q42)</f>
        <v>1356.6831456154043</v>
      </c>
      <c r="R43" s="40">
        <f ca="1">SUM(R41:R42)</f>
        <v>1282.5775780977935</v>
      </c>
      <c r="S43" s="40">
        <f ca="1">SUM(S41:S42)</f>
        <v>1213.3271518230097</v>
      </c>
      <c r="T43" s="51">
        <f ca="1">SUM(T41:T42)</f>
        <v>1128.5183694301563</v>
      </c>
    </row>
    <row r="44" spans="1:21" s="30" customFormat="1" ht="9.75" customHeight="1" x14ac:dyDescent="0.15">
      <c r="A44" s="45" t="s">
        <v>327</v>
      </c>
      <c r="B44" s="41"/>
      <c r="C44" s="41"/>
      <c r="D44" s="41"/>
      <c r="E44" s="41"/>
      <c r="F44" s="62">
        <f t="shared" si="9"/>
        <v>501.34600000000006</v>
      </c>
      <c r="G44" s="62">
        <f t="shared" si="9"/>
        <v>501.34600000000006</v>
      </c>
      <c r="H44" s="62">
        <f t="shared" si="9"/>
        <v>501.34600000000006</v>
      </c>
      <c r="I44" s="62">
        <f t="shared" si="9"/>
        <v>501.34600000000006</v>
      </c>
      <c r="J44" s="85">
        <f t="shared" si="9"/>
        <v>501.34600000000006</v>
      </c>
      <c r="L44" s="45"/>
      <c r="M44" s="41"/>
      <c r="N44" s="41"/>
      <c r="O44" s="41"/>
      <c r="P44" s="41"/>
      <c r="Q44" s="41"/>
      <c r="R44" s="41"/>
      <c r="S44" s="41"/>
      <c r="T44" s="82"/>
    </row>
    <row r="45" spans="1:21" s="30" customFormat="1" ht="9.75" customHeight="1" x14ac:dyDescent="0.15">
      <c r="A45" s="48" t="s">
        <v>122</v>
      </c>
      <c r="B45" s="38"/>
      <c r="C45" s="38"/>
      <c r="D45" s="38"/>
      <c r="E45" s="38"/>
      <c r="F45" s="40">
        <f ca="1">SUM(F43:F44)</f>
        <v>1485.7604341443721</v>
      </c>
      <c r="G45" s="40">
        <f ca="1">SUM(G43:G44)</f>
        <v>1450.7713349554108</v>
      </c>
      <c r="H45" s="40">
        <f ca="1">SUM(H43:H44)</f>
        <v>1397.007017863272</v>
      </c>
      <c r="I45" s="40">
        <f ca="1">SUM(I43:I44)</f>
        <v>1325.3290209670747</v>
      </c>
      <c r="J45" s="51">
        <f ca="1">SUM(J43:J44)</f>
        <v>1248.299416633256</v>
      </c>
      <c r="L45" s="66" t="s">
        <v>207</v>
      </c>
      <c r="P45" s="80">
        <f ca="1">P39-P43</f>
        <v>669.15934696125578</v>
      </c>
      <c r="Q45" s="80">
        <f ca="1">Q39-Q43</f>
        <v>794.44450035959539</v>
      </c>
      <c r="R45" s="80">
        <f ca="1">R39-R43</f>
        <v>1059.3211249018316</v>
      </c>
      <c r="S45" s="80">
        <f ca="1">S39-S43</f>
        <v>1345.8807303179003</v>
      </c>
      <c r="T45" s="84">
        <f ca="1">T39-T43</f>
        <v>1646.8687554473672</v>
      </c>
    </row>
    <row r="46" spans="1:21" s="30" customFormat="1" ht="9.75" customHeight="1" x14ac:dyDescent="0.15">
      <c r="A46" s="66"/>
      <c r="B46" s="41"/>
      <c r="C46" s="41"/>
      <c r="D46" s="41"/>
      <c r="E46" s="41"/>
      <c r="F46" s="42"/>
      <c r="G46" s="42"/>
      <c r="H46" s="42"/>
      <c r="I46" s="42"/>
      <c r="J46" s="83"/>
      <c r="L46" s="45"/>
      <c r="M46" s="41"/>
      <c r="N46" s="41"/>
      <c r="O46" s="41"/>
      <c r="P46" s="41"/>
      <c r="Q46" s="41"/>
      <c r="R46" s="41"/>
      <c r="S46" s="41"/>
      <c r="T46" s="82"/>
    </row>
    <row r="47" spans="1:21" s="30" customFormat="1" ht="9.75" customHeight="1" x14ac:dyDescent="0.15">
      <c r="A47" s="45" t="s">
        <v>328</v>
      </c>
      <c r="B47" s="41"/>
      <c r="C47" s="41"/>
      <c r="D47" s="41"/>
      <c r="E47" s="41"/>
      <c r="F47" s="302">
        <v>0.05</v>
      </c>
      <c r="G47" s="274">
        <f t="shared" ref="G47:J48" si="10">+F47</f>
        <v>0.05</v>
      </c>
      <c r="H47" s="274">
        <f t="shared" si="10"/>
        <v>0.05</v>
      </c>
      <c r="I47" s="274">
        <f t="shared" si="10"/>
        <v>0.05</v>
      </c>
      <c r="J47" s="275">
        <f t="shared" si="10"/>
        <v>0.05</v>
      </c>
      <c r="L47" s="45" t="s">
        <v>208</v>
      </c>
      <c r="M47" s="41"/>
      <c r="N47" s="41"/>
      <c r="O47" s="41"/>
      <c r="P47" s="57">
        <f ca="1">RATE(P$35,,-$T$23,P45)</f>
        <v>0.16231455811576009</v>
      </c>
      <c r="Q47" s="57">
        <f ca="1">RATE(Q$35,,-$T$23,Q45)</f>
        <v>0.17470507726691814</v>
      </c>
      <c r="R47" s="57">
        <f ca="1">RATE(R$35,,-$T$23,R45)</f>
        <v>0.22538883955544101</v>
      </c>
      <c r="S47" s="57">
        <f ca="1">RATE(S$35,,-$T$23,S45)</f>
        <v>0.23651724039205874</v>
      </c>
      <c r="T47" s="87">
        <f ca="1">RATE(T$35,,-$T$23,T45)</f>
        <v>0.23393028586765849</v>
      </c>
    </row>
    <row r="48" spans="1:21" s="30" customFormat="1" ht="9.75" customHeight="1" x14ac:dyDescent="0.15">
      <c r="A48" s="45" t="s">
        <v>329</v>
      </c>
      <c r="B48" s="41"/>
      <c r="C48" s="41"/>
      <c r="D48" s="41"/>
      <c r="E48" s="41"/>
      <c r="F48" s="302">
        <v>0.08</v>
      </c>
      <c r="G48" s="274">
        <f t="shared" si="10"/>
        <v>0.08</v>
      </c>
      <c r="H48" s="274">
        <f t="shared" si="10"/>
        <v>0.08</v>
      </c>
      <c r="I48" s="274">
        <f t="shared" si="10"/>
        <v>0.08</v>
      </c>
      <c r="J48" s="275">
        <f t="shared" si="10"/>
        <v>0.08</v>
      </c>
      <c r="L48" s="97" t="s">
        <v>209</v>
      </c>
      <c r="M48" s="44"/>
      <c r="N48" s="44"/>
      <c r="O48" s="44"/>
      <c r="P48" s="98">
        <f ca="1">P45/$T$23</f>
        <v>1.1623145581157599</v>
      </c>
      <c r="Q48" s="98">
        <f ca="1">Q45/$T$23</f>
        <v>1.379932018548675</v>
      </c>
      <c r="R48" s="98">
        <f ca="1">R45/$T$23</f>
        <v>1.8400166877804252</v>
      </c>
      <c r="S48" s="98">
        <f ca="1">S45/$T$23</f>
        <v>2.3377642013667357</v>
      </c>
      <c r="T48" s="99">
        <f ca="1">T45/$T$23</f>
        <v>2.8605735516585242</v>
      </c>
      <c r="U48" s="92"/>
    </row>
    <row r="49" spans="1:20" s="30" customFormat="1" ht="9.75" customHeight="1" x14ac:dyDescent="0.15">
      <c r="A49" s="48" t="s">
        <v>123</v>
      </c>
      <c r="B49" s="38"/>
      <c r="C49" s="38"/>
      <c r="D49" s="38"/>
      <c r="E49" s="38"/>
      <c r="F49" s="303">
        <f ca="1">F53/F45</f>
        <v>6.0123018256749816E-2</v>
      </c>
      <c r="G49" s="43">
        <f ca="1">G53/G45</f>
        <v>6.0367160997471921E-2</v>
      </c>
      <c r="H49" s="43">
        <f ca="1">H53/H45</f>
        <v>6.0766144913863299E-2</v>
      </c>
      <c r="I49" s="43">
        <f ca="1">I53/I45</f>
        <v>6.1348412176943992E-2</v>
      </c>
      <c r="J49" s="69">
        <f ca="1">J53/J45</f>
        <v>6.2048695849401973E-2</v>
      </c>
      <c r="L49" s="41"/>
      <c r="M49" s="41"/>
      <c r="N49" s="41"/>
      <c r="O49" s="41"/>
      <c r="P49" s="41"/>
      <c r="Q49" s="41"/>
      <c r="R49" s="41"/>
      <c r="S49" s="41"/>
      <c r="T49" s="41"/>
    </row>
    <row r="50" spans="1:20" s="30" customFormat="1" ht="9.75" customHeight="1" x14ac:dyDescent="0.15">
      <c r="A50" s="45"/>
      <c r="B50" s="41"/>
      <c r="C50" s="41"/>
      <c r="D50" s="41"/>
      <c r="E50" s="41"/>
      <c r="F50" s="41"/>
      <c r="G50" s="41"/>
      <c r="H50" s="41"/>
      <c r="I50" s="41"/>
      <c r="J50" s="82"/>
      <c r="L50" s="33" t="s">
        <v>210</v>
      </c>
      <c r="M50" s="34"/>
      <c r="N50" s="34"/>
      <c r="O50" s="34"/>
      <c r="P50" s="34"/>
      <c r="Q50" s="34"/>
      <c r="R50" s="34"/>
      <c r="S50" s="34"/>
      <c r="T50" s="156"/>
    </row>
    <row r="51" spans="1:20" s="30" customFormat="1" ht="9.75" customHeight="1" x14ac:dyDescent="0.15">
      <c r="A51" s="45" t="s">
        <v>330</v>
      </c>
      <c r="B51" s="41"/>
      <c r="C51" s="41"/>
      <c r="D51" s="41"/>
      <c r="E51" s="41"/>
      <c r="F51" s="42">
        <f t="shared" ref="F51:J52" ca="1" si="11">F43*F47</f>
        <v>49.220721707218608</v>
      </c>
      <c r="G51" s="42">
        <f t="shared" ca="1" si="11"/>
        <v>47.471266747770542</v>
      </c>
      <c r="H51" s="42">
        <f t="shared" ca="1" si="11"/>
        <v>44.783050893163605</v>
      </c>
      <c r="I51" s="42">
        <f t="shared" ca="1" si="11"/>
        <v>41.199151048353734</v>
      </c>
      <c r="J51" s="83">
        <f t="shared" ca="1" si="11"/>
        <v>37.347670831662803</v>
      </c>
      <c r="L51" s="54"/>
      <c r="M51" s="38"/>
      <c r="N51" s="38"/>
      <c r="O51" s="93"/>
      <c r="P51" s="79" t="s">
        <v>4</v>
      </c>
      <c r="Q51" s="79" t="s">
        <v>5</v>
      </c>
      <c r="R51" s="79" t="s">
        <v>333</v>
      </c>
      <c r="S51" s="79" t="s">
        <v>355</v>
      </c>
      <c r="T51" s="81" t="s">
        <v>398</v>
      </c>
    </row>
    <row r="52" spans="1:20" s="30" customFormat="1" ht="9.75" customHeight="1" x14ac:dyDescent="0.15">
      <c r="A52" s="45" t="s">
        <v>331</v>
      </c>
      <c r="B52" s="41"/>
      <c r="C52" s="41"/>
      <c r="D52" s="41"/>
      <c r="E52" s="41"/>
      <c r="F52" s="62">
        <f t="shared" si="11"/>
        <v>40.107680000000009</v>
      </c>
      <c r="G52" s="62">
        <f t="shared" si="11"/>
        <v>40.107680000000009</v>
      </c>
      <c r="H52" s="62">
        <f t="shared" si="11"/>
        <v>40.107680000000009</v>
      </c>
      <c r="I52" s="62">
        <f t="shared" si="11"/>
        <v>40.107680000000009</v>
      </c>
      <c r="J52" s="85">
        <f t="shared" si="11"/>
        <v>40.107680000000009</v>
      </c>
      <c r="L52" s="45" t="s">
        <v>113</v>
      </c>
      <c r="M52" s="41"/>
      <c r="N52" s="41"/>
      <c r="O52" s="86"/>
      <c r="P52" s="86">
        <f ca="1">+F35/P37</f>
        <v>5.1707247531375593</v>
      </c>
      <c r="Q52" s="86">
        <f ca="1">+G35/Q37</f>
        <v>4.6665843517643149</v>
      </c>
      <c r="R52" s="86">
        <f ca="1">+H35/R37</f>
        <v>4.0649408219655143</v>
      </c>
      <c r="S52" s="86">
        <f ca="1">+I35/S37</f>
        <v>3.5303605923757924</v>
      </c>
      <c r="T52" s="94">
        <f ca="1">+J35/T37</f>
        <v>3.0414730624039752</v>
      </c>
    </row>
    <row r="53" spans="1:20" s="30" customFormat="1" ht="9.75" customHeight="1" x14ac:dyDescent="0.15">
      <c r="A53" s="52" t="s">
        <v>125</v>
      </c>
      <c r="B53" s="53"/>
      <c r="C53" s="53"/>
      <c r="D53" s="53"/>
      <c r="E53" s="53"/>
      <c r="F53" s="59">
        <f ca="1">SUM(F51:F52)</f>
        <v>89.328401707218617</v>
      </c>
      <c r="G53" s="59">
        <f ca="1">SUM(G51:G52)</f>
        <v>87.578946747770544</v>
      </c>
      <c r="H53" s="59">
        <f ca="1">SUM(H51:H52)</f>
        <v>84.890730893163607</v>
      </c>
      <c r="I53" s="59">
        <f ca="1">SUM(I51:I52)</f>
        <v>81.306831048353743</v>
      </c>
      <c r="J53" s="164">
        <f ca="1">SUM(J51:J52)</f>
        <v>77.455350831662813</v>
      </c>
      <c r="L53" s="97" t="s">
        <v>211</v>
      </c>
      <c r="M53" s="44"/>
      <c r="N53" s="44"/>
      <c r="O53" s="44"/>
      <c r="P53" s="98">
        <f ca="1">+P37/F53</f>
        <v>3.1771085715850846</v>
      </c>
      <c r="Q53" s="98">
        <f ca="1">+Q37/G53</f>
        <v>3.5088792550799073</v>
      </c>
      <c r="R53" s="98">
        <f ca="1">+R37/H53</f>
        <v>3.9410304758999009</v>
      </c>
      <c r="S53" s="98">
        <f ca="1">+S37/I53</f>
        <v>4.4965610060820653</v>
      </c>
      <c r="T53" s="99">
        <f ca="1">+T37/J53</f>
        <v>5.1188700422285809</v>
      </c>
    </row>
    <row r="54" spans="1:20" s="30" customFormat="1" ht="10.35" customHeight="1" x14ac:dyDescent="0.15">
      <c r="L54" s="41"/>
      <c r="M54" s="41"/>
      <c r="N54" s="41"/>
      <c r="O54" s="41"/>
      <c r="P54" s="86"/>
      <c r="Q54" s="86"/>
      <c r="R54" s="86"/>
      <c r="S54" s="86"/>
      <c r="T54" s="86"/>
    </row>
    <row r="55" spans="1:20" s="30" customFormat="1" ht="10.35" customHeight="1" x14ac:dyDescent="0.15"/>
    <row r="56" spans="1:20" s="30" customFormat="1" ht="10.35" customHeight="1" x14ac:dyDescent="0.15"/>
    <row r="57" spans="1:20" s="30" customFormat="1" ht="10.35" customHeight="1" x14ac:dyDescent="0.15"/>
    <row r="58" spans="1:20" s="30" customFormat="1" ht="10.35" customHeight="1" x14ac:dyDescent="0.15"/>
    <row r="59" spans="1:20" s="30" customFormat="1" ht="10.35" customHeight="1" x14ac:dyDescent="0.15"/>
    <row r="60" spans="1:20" s="30" customFormat="1" ht="10.35" customHeight="1" x14ac:dyDescent="0.15"/>
    <row r="61" spans="1:20" s="30" customFormat="1" ht="10.35" customHeight="1" x14ac:dyDescent="0.15"/>
    <row r="62" spans="1:20" s="30" customFormat="1" ht="10.35" customHeight="1" x14ac:dyDescent="0.15"/>
    <row r="63" spans="1:20" s="30" customFormat="1" ht="10.35" customHeight="1" x14ac:dyDescent="0.15"/>
    <row r="64" spans="1:20" s="30" customFormat="1" ht="10.35" customHeight="1" x14ac:dyDescent="0.15"/>
    <row r="65" s="30" customFormat="1" ht="10.35" customHeight="1" x14ac:dyDescent="0.15"/>
    <row r="66" s="30" customFormat="1" ht="10.35" customHeight="1" x14ac:dyDescent="0.15"/>
    <row r="67" s="30" customFormat="1" ht="10.35" customHeight="1" x14ac:dyDescent="0.15"/>
    <row r="68" s="30" customFormat="1" ht="10.35" customHeight="1" x14ac:dyDescent="0.15"/>
    <row r="69" s="30" customFormat="1" ht="10.35" customHeight="1" x14ac:dyDescent="0.15"/>
    <row r="70" s="30" customFormat="1" ht="10.35" customHeight="1" x14ac:dyDescent="0.15"/>
    <row r="71" s="30" customFormat="1" ht="10.35" customHeight="1" x14ac:dyDescent="0.15"/>
    <row r="72" s="30" customFormat="1" ht="10.35" customHeight="1" x14ac:dyDescent="0.15"/>
    <row r="73" s="30" customFormat="1" ht="10.35" customHeight="1" x14ac:dyDescent="0.15"/>
    <row r="74" s="30" customFormat="1" ht="10.35" customHeight="1" x14ac:dyDescent="0.15"/>
    <row r="75" s="30" customFormat="1" ht="10.35" customHeight="1" x14ac:dyDescent="0.15"/>
    <row r="76" s="30" customFormat="1" ht="10.35" customHeight="1" x14ac:dyDescent="0.15"/>
    <row r="77" s="30" customFormat="1" ht="10.35" customHeight="1" x14ac:dyDescent="0.15"/>
    <row r="78" s="30" customFormat="1" ht="10.35" customHeight="1" x14ac:dyDescent="0.15"/>
    <row r="79" s="30" customFormat="1" ht="10.35" customHeight="1" x14ac:dyDescent="0.15"/>
    <row r="80" s="30" customFormat="1" ht="10.35" customHeight="1" x14ac:dyDescent="0.15"/>
    <row r="81" s="28" customFormat="1" ht="10.35" customHeight="1" x14ac:dyDescent="0.2"/>
    <row r="82" s="28" customFormat="1" ht="10.35" customHeight="1" x14ac:dyDescent="0.2"/>
    <row r="83" s="28" customFormat="1" ht="10.35" customHeight="1" x14ac:dyDescent="0.2"/>
    <row r="84" s="28" customFormat="1" ht="10.35" customHeight="1" x14ac:dyDescent="0.2"/>
    <row r="85" ht="10.35" customHeight="1" x14ac:dyDescent="0.2"/>
    <row r="86" ht="10.35" customHeight="1" x14ac:dyDescent="0.2"/>
    <row r="87" ht="10.35" customHeight="1" x14ac:dyDescent="0.2"/>
    <row r="88" ht="10.35" customHeight="1" x14ac:dyDescent="0.2"/>
    <row r="89" ht="10.35" customHeight="1" x14ac:dyDescent="0.2"/>
    <row r="90" ht="10.35" customHeight="1" x14ac:dyDescent="0.2"/>
    <row r="91" ht="10.35" customHeight="1" x14ac:dyDescent="0.2"/>
    <row r="92" ht="10.35" customHeight="1" x14ac:dyDescent="0.2"/>
    <row r="93" ht="10.35" customHeight="1" x14ac:dyDescent="0.2"/>
    <row r="94" ht="10.35" customHeight="1" x14ac:dyDescent="0.2"/>
    <row r="95" ht="10.35" customHeight="1" x14ac:dyDescent="0.2"/>
    <row r="96" ht="10.35" customHeight="1" x14ac:dyDescent="0.2"/>
    <row r="97" ht="10.35" customHeight="1" x14ac:dyDescent="0.2"/>
    <row r="98" ht="12.75" customHeight="1" x14ac:dyDescent="0.2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Public Comps</vt:lpstr>
      <vt:lpstr>M&amp;A Comps</vt:lpstr>
      <vt:lpstr>WACC</vt:lpstr>
      <vt:lpstr>DCF</vt:lpstr>
      <vt:lpstr>Valuation Output</vt:lpstr>
      <vt:lpstr>LBO</vt:lpstr>
      <vt:lpstr>'Balance Sheet'!Print_Area</vt:lpstr>
      <vt:lpstr>'Cash Flow Statement'!Print_Area</vt:lpstr>
      <vt:lpstr>DCF!Print_Area</vt:lpstr>
      <vt:lpstr>Debt!Print_Area</vt:lpstr>
      <vt:lpstr>Equity!Print_Area</vt:lpstr>
      <vt:lpstr>'Income Statement'!Print_Area</vt:lpstr>
      <vt:lpstr>Interest!Print_Area</vt:lpstr>
      <vt:lpstr>LBO!Print_Area</vt:lpstr>
      <vt:lpstr>'M&amp;A Comps'!Print_Area</vt:lpstr>
      <vt:lpstr>'PP&amp;E'!Print_Area</vt:lpstr>
      <vt:lpstr>'Public Comps'!Print_Area</vt:lpstr>
      <vt:lpstr>'Valuation Output'!Print_Area</vt:lpstr>
      <vt:lpstr>WACC!Print_Area</vt:lpstr>
      <vt:lpstr>'Working Capital'!Print_Area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David Lewicki</cp:lastModifiedBy>
  <cp:revision/>
  <cp:lastPrinted>2020-03-22T16:14:52Z</cp:lastPrinted>
  <dcterms:created xsi:type="dcterms:W3CDTF">2013-05-29T12:26:19Z</dcterms:created>
  <dcterms:modified xsi:type="dcterms:W3CDTF">2020-03-22T16:54:49Z</dcterms:modified>
</cp:coreProperties>
</file>