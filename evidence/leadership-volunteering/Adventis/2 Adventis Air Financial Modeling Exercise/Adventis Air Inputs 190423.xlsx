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1\2019-2020 Academic Year (Adventis Air)\Documents for Boot Camp\"/>
    </mc:Choice>
  </mc:AlternateContent>
  <xr:revisionPtr revIDLastSave="0" documentId="13_ncr:1_{B24330BE-DEB5-468D-A340-5F6AFE049870}" xr6:coauthVersionLast="43" xr6:coauthVersionMax="43" xr10:uidLastSave="{00000000-0000-0000-0000-000000000000}"/>
  <bookViews>
    <workbookView xWindow="-120" yWindow="-120" windowWidth="25440" windowHeight="15390" xr2:uid="{00000000-000D-0000-FFFF-FFFF00000000}"/>
  </bookViews>
  <sheets>
    <sheet name="Terms of Use" sheetId="6" r:id="rId1"/>
    <sheet name="1" sheetId="2" r:id="rId2"/>
    <sheet name="2" sheetId="8" r:id="rId3"/>
    <sheet name="3" sheetId="3" r:id="rId4"/>
    <sheet name="4" sheetId="4" r:id="rId5"/>
    <sheet name="5" sheetId="9" r:id="rId6"/>
    <sheet name="6" sheetId="11" r:id="rId7"/>
    <sheet name="7" sheetId="12" r:id="rId8"/>
    <sheet name="8" sheetId="10" r:id="rId9"/>
    <sheet name="9" sheetId="13" r:id="rId10"/>
    <sheet name="10" sheetId="14" r:id="rId11"/>
  </sheets>
  <definedNames>
    <definedName name="_xlnm.Print_Area" localSheetId="1">'1'!$A$1:$H$35</definedName>
    <definedName name="_xlnm.Print_Area" localSheetId="10">'10'!$A$1:$L$34</definedName>
    <definedName name="_xlnm.Print_Area" localSheetId="2">'2'!$A$1:$L$21</definedName>
    <definedName name="_xlnm.Print_Area" localSheetId="3">'3'!$A$1:$H$41</definedName>
    <definedName name="_xlnm.Print_Area" localSheetId="4">'4'!$A$1:$L$27</definedName>
    <definedName name="_xlnm.Print_Area" localSheetId="5">'5'!$A$1:$L$40</definedName>
    <definedName name="_xlnm.Print_Area" localSheetId="6">'6'!$A$1:$L$30</definedName>
    <definedName name="_xlnm.Print_Area" localSheetId="7">'7'!$A$1:$L$28</definedName>
    <definedName name="_xlnm.Print_Area" localSheetId="8">'8'!$A$1:$L$34</definedName>
    <definedName name="_xlnm.Print_Area" localSheetId="9">'9'!$A$1:$L$34</definedName>
  </definedNames>
  <calcPr calcId="191029" iterate="1" iterateCount="100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" i="3" l="1"/>
</calcChain>
</file>

<file path=xl/sharedStrings.xml><?xml version="1.0" encoding="utf-8"?>
<sst xmlns="http://schemas.openxmlformats.org/spreadsheetml/2006/main" count="233" uniqueCount="134">
  <si>
    <t>Assets</t>
  </si>
  <si>
    <t>Income Statement</t>
  </si>
  <si>
    <t>Corporate Tax Rate</t>
  </si>
  <si>
    <t>Working Capital Schedule</t>
  </si>
  <si>
    <t>Days Receivable</t>
  </si>
  <si>
    <t>Days</t>
  </si>
  <si>
    <t>Minimum Cash</t>
  </si>
  <si>
    <t>Interest Rate Schedule</t>
  </si>
  <si>
    <t>(in millions, except share and per share data)</t>
  </si>
  <si>
    <t>Capital Expenditures</t>
  </si>
  <si>
    <t>Depreciation</t>
  </si>
  <si>
    <t>Net Earnings</t>
  </si>
  <si>
    <t>Liabilities and Shareholders' Equity</t>
  </si>
  <si>
    <t>Product protected by copyright</t>
  </si>
  <si>
    <t>Cash Flow Statement</t>
  </si>
  <si>
    <t>Step 1</t>
  </si>
  <si>
    <t>Step 2</t>
  </si>
  <si>
    <t>Below are drivers you'll need to project the income statement in the Financial Model.</t>
  </si>
  <si>
    <t>Step 3</t>
  </si>
  <si>
    <t>Step 4</t>
  </si>
  <si>
    <t>Example</t>
  </si>
  <si>
    <t>Accounts Receivable</t>
  </si>
  <si>
    <t>Step 5</t>
  </si>
  <si>
    <t>Below is an example of how to flat line the balance sheet figures.</t>
  </si>
  <si>
    <t>Change in Working Capital</t>
  </si>
  <si>
    <t>Cash From Operating Activities</t>
  </si>
  <si>
    <t>Cash From Investing Activities</t>
  </si>
  <si>
    <t>Cash From Financing Activities</t>
  </si>
  <si>
    <t>Change in Cash</t>
  </si>
  <si>
    <t xml:space="preserve">Beginning Cash </t>
  </si>
  <si>
    <t>Ending Cash</t>
  </si>
  <si>
    <t>Metrics &amp; Drivers</t>
  </si>
  <si>
    <t>Below is an illustration of how to format the cash flow statement.</t>
  </si>
  <si>
    <t>Step 6</t>
  </si>
  <si>
    <t>Step 7</t>
  </si>
  <si>
    <t>Step 8</t>
  </si>
  <si>
    <t>Step 9</t>
  </si>
  <si>
    <t>Step 10</t>
  </si>
  <si>
    <t>Below are drivers you'll need to build the working capital schedule in the Financial Model.</t>
  </si>
  <si>
    <t>Debt Schedule</t>
  </si>
  <si>
    <t>Below are drivers you'll need to build the interest rate schedule in the Financial Model.</t>
  </si>
  <si>
    <t xml:space="preserve">Step 10: Build out the interest expense schedule and link into the financial statements </t>
  </si>
  <si>
    <t xml:space="preserve">Step 5: Format the cash flow statement </t>
  </si>
  <si>
    <t xml:space="preserve">Step 4: Flat line balance sheet figures; the balance sheet should be balanced from here out </t>
  </si>
  <si>
    <t>real figures for the years represented and are formatted similar to a 10-K.</t>
  </si>
  <si>
    <t>Capital Expenditures as a % Revenue</t>
  </si>
  <si>
    <t>Depreciation as a % Revenue</t>
  </si>
  <si>
    <t>Common Stock Schedule</t>
  </si>
  <si>
    <t>Average Common Shares Oustanding</t>
  </si>
  <si>
    <t>Dividends per Share</t>
  </si>
  <si>
    <t>Operating Expenses</t>
  </si>
  <si>
    <t>Operating Income</t>
  </si>
  <si>
    <t>Interest Expense</t>
  </si>
  <si>
    <t>Total Other Expenses</t>
  </si>
  <si>
    <t>Earnings Before Taxes</t>
  </si>
  <si>
    <t>Corporate Taxes</t>
  </si>
  <si>
    <t xml:space="preserve">Total Current Assets </t>
  </si>
  <si>
    <t xml:space="preserve">Total Assets </t>
  </si>
  <si>
    <t xml:space="preserve">Total Current Liabilities </t>
  </si>
  <si>
    <t xml:space="preserve">Total Debt </t>
  </si>
  <si>
    <t>Cash and Cash Equivalents</t>
  </si>
  <si>
    <t>Other Current Assets</t>
  </si>
  <si>
    <t>Other Long-Term Assets</t>
  </si>
  <si>
    <t>Other Current Liabilities</t>
  </si>
  <si>
    <t>Other Long-Term Liabilities</t>
  </si>
  <si>
    <t>Total Liabilities</t>
  </si>
  <si>
    <t>Total Liabilities and Equity</t>
  </si>
  <si>
    <t>Property, Plant &amp; Equipment</t>
  </si>
  <si>
    <t>Dividends</t>
  </si>
  <si>
    <t>Share Repurchases</t>
  </si>
  <si>
    <t>Share Repurchases Schedule</t>
  </si>
  <si>
    <t>Dividends Schedule</t>
  </si>
  <si>
    <t>Terms of Use</t>
  </si>
  <si>
    <t>This document subject to the Terms of Use</t>
  </si>
  <si>
    <t>INCOME STATEMENT</t>
  </si>
  <si>
    <t>BALANCE SHEET</t>
  </si>
  <si>
    <t>Revenue</t>
  </si>
  <si>
    <t>Below are the historical income statement figures you will use to populate the income statement in the Financial Model. The figures below the company's</t>
  </si>
  <si>
    <t>Below are the historical balance sheet figures you will use to populate the balance sheet in the Financial Model. The figures below represent the company's</t>
  </si>
  <si>
    <t xml:space="preserve">Step 7: Build out the working capital schedule and link into the financial statements </t>
  </si>
  <si>
    <t xml:space="preserve">Step 8: Build out the equity, common stock, stock repurchase and dividend schedules and link into the financial statements </t>
  </si>
  <si>
    <t>Other Current Assets as a % of Revenue</t>
  </si>
  <si>
    <t>2019E</t>
  </si>
  <si>
    <t>2020E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</si>
  <si>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</si>
  <si>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</si>
  <si>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 xml:space="preserve">Step 9: Build out the debt schedule and link into the financial statements </t>
  </si>
  <si>
    <t>Change in Revolver</t>
  </si>
  <si>
    <t>P/E Multiple</t>
  </si>
  <si>
    <t>Revolver</t>
  </si>
  <si>
    <t>Long-Term Debt</t>
  </si>
  <si>
    <t xml:space="preserve">Step 3: Paste in historical balance sheet figures </t>
  </si>
  <si>
    <t xml:space="preserve">Step 1: Paste in historical income statement figures </t>
  </si>
  <si>
    <t>No. of Shares Repurchased</t>
  </si>
  <si>
    <t>Fiscal Year Ended December 31,</t>
  </si>
  <si>
    <t>as of December 31,</t>
  </si>
  <si>
    <t>Accounts Payable</t>
  </si>
  <si>
    <t>Other Current Liabilities as a % Revenue</t>
  </si>
  <si>
    <t>Accounts Payable as a % of Revenue</t>
  </si>
  <si>
    <t>2016A</t>
  </si>
  <si>
    <t>2021E</t>
  </si>
  <si>
    <t>Accrued Liabilities</t>
  </si>
  <si>
    <t xml:space="preserve">Step 2: Project out income statement figures; leave interest expense blank for now </t>
  </si>
  <si>
    <t>Below are drivers you'll need to build the equity, common stock, stock repurchases and dividend schedules in the Financial Model.</t>
  </si>
  <si>
    <t>Below are drivers you'll need to build the debt schedule in the Financial Model.</t>
  </si>
  <si>
    <t>Accrued Liabilities as a % of Revenue</t>
  </si>
  <si>
    <t>Note: Current Maturities of Long-Term Debt has been combined with Total Debt and designated as a long-term liability for training purposes.</t>
  </si>
  <si>
    <t>Long-Term Debt Paydown (Scheduled)</t>
  </si>
  <si>
    <t>Other Expenses (Income)</t>
  </si>
  <si>
    <t>Change in Long-Term Debt</t>
  </si>
  <si>
    <t>Operating Profit</t>
  </si>
  <si>
    <t>EBITDA</t>
  </si>
  <si>
    <t>Long-Term Debt Issued</t>
  </si>
  <si>
    <t>2017A</t>
  </si>
  <si>
    <t>2022E</t>
  </si>
  <si>
    <t>% Revenue Growth</t>
  </si>
  <si>
    <t>% Operating Margin</t>
  </si>
  <si>
    <t>Other Expense (Income)</t>
  </si>
  <si>
    <t>Beginning Balance of Shares Outstanding</t>
  </si>
  <si>
    <t>Share Repurchases ($)</t>
  </si>
  <si>
    <t>Dividends ($)</t>
  </si>
  <si>
    <t>Shareholders' Equity</t>
  </si>
  <si>
    <t>Interest Income</t>
  </si>
  <si>
    <t>Free Cash Flow (Levered)</t>
  </si>
  <si>
    <t>PP&amp;E Schedule</t>
  </si>
  <si>
    <t xml:space="preserve">Step 6: Build out the PP&amp;E schedule and link into the financial statements </t>
  </si>
  <si>
    <t>Below are drivers you'll need to build the PP&amp;E schedule in the Financial Model.</t>
  </si>
  <si>
    <t>Interest Rate on Cash</t>
  </si>
  <si>
    <t>Financial Modeling Course - Adventis Air Company</t>
  </si>
  <si>
    <t>2018A</t>
  </si>
  <si>
    <t>2023E</t>
  </si>
  <si>
    <t>No. of Shares Issued</t>
  </si>
  <si>
    <t>Revolver Ending Balance</t>
  </si>
  <si>
    <t>Long-Term Debt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</si>
</sst>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);\(#,##0\);\ \-\ \-\ "/>
    <numFmt numFmtId="165" formatCode="#,##0.0_);\(#,##0.0\);\ \-\ \-\ "/>
    <numFmt numFmtId="166" formatCode="&quot;$&quot;#,##0_);\(&quot;$&quot;#,##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7" fontId="8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66" fontId="8" fillId="0" borderId="0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/>
    <xf numFmtId="0" fontId="10" fillId="0" borderId="0" xfId="0" applyFont="1" applyAlignment="1"/>
    <xf numFmtId="0" fontId="3" fillId="0" borderId="0" xfId="0" applyFont="1" applyAlignment="1">
      <alignment vertical="top" wrapText="1"/>
    </xf>
    <xf numFmtId="0" fontId="3" fillId="0" borderId="0" xfId="0" applyFont="1" applyAlignment="1"/>
    <xf numFmtId="0" fontId="1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64" fontId="13" fillId="0" borderId="0" xfId="0" applyNumberFormat="1" applyFont="1" applyBorder="1" applyAlignment="1">
      <alignment vertical="center"/>
    </xf>
    <xf numFmtId="166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vertical="center"/>
    </xf>
    <xf numFmtId="166" fontId="5" fillId="0" borderId="3" xfId="0" applyNumberFormat="1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8" fontId="14" fillId="0" borderId="0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6" fillId="0" borderId="1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Continuous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9" fontId="8" fillId="0" borderId="0" xfId="0" applyNumberFormat="1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indent="1"/>
    </xf>
    <xf numFmtId="0" fontId="5" fillId="0" borderId="4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7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7" fontId="8" fillId="3" borderId="0" xfId="0" applyNumberFormat="1" applyFont="1" applyFill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5" fontId="8" fillId="0" borderId="0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66" fontId="13" fillId="0" borderId="0" xfId="0" applyNumberFormat="1" applyFont="1" applyBorder="1" applyAlignment="1">
      <alignment vertical="center"/>
    </xf>
    <xf numFmtId="166" fontId="13" fillId="0" borderId="3" xfId="0" applyNumberFormat="1" applyFont="1" applyBorder="1" applyAlignment="1">
      <alignment vertical="center"/>
    </xf>
    <xf numFmtId="164" fontId="13" fillId="3" borderId="1" xfId="0" applyNumberFormat="1" applyFont="1" applyFill="1" applyBorder="1" applyAlignment="1">
      <alignment vertical="center"/>
    </xf>
    <xf numFmtId="166" fontId="13" fillId="3" borderId="0" xfId="0" applyNumberFormat="1" applyFont="1" applyFill="1" applyBorder="1" applyAlignment="1">
      <alignment vertical="center"/>
    </xf>
    <xf numFmtId="166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6" fontId="13" fillId="0" borderId="4" xfId="0" applyNumberFormat="1" applyFont="1" applyBorder="1" applyAlignment="1">
      <alignment vertical="center"/>
    </xf>
    <xf numFmtId="168" fontId="8" fillId="0" borderId="0" xfId="0" applyNumberFormat="1" applyFont="1" applyBorder="1" applyAlignment="1">
      <alignment vertical="center"/>
    </xf>
    <xf numFmtId="167" fontId="8" fillId="3" borderId="0" xfId="0" applyNumberFormat="1" applyFont="1" applyFill="1" applyAlignment="1">
      <alignment vertical="center"/>
    </xf>
    <xf numFmtId="167" fontId="8" fillId="0" borderId="0" xfId="0" applyNumberFormat="1" applyFont="1" applyAlignment="1">
      <alignment vertical="center"/>
    </xf>
    <xf numFmtId="170" fontId="8" fillId="0" borderId="0" xfId="0" applyNumberFormat="1" applyFont="1" applyBorder="1" applyAlignment="1">
      <alignment vertical="center"/>
    </xf>
    <xf numFmtId="164" fontId="8" fillId="3" borderId="0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showGridLines="0" tabSelected="1" zoomScale="85" zoomScaleNormal="85" workbookViewId="0"/>
  </sheetViews>
  <sheetFormatPr defaultColWidth="9.140625" defaultRowHeight="15.2" customHeight="1" x14ac:dyDescent="0.2"/>
  <cols>
    <col min="1" max="1" width="128.42578125" style="17" customWidth="1"/>
    <col min="2" max="16384" width="9.140625" style="17"/>
  </cols>
  <sheetData>
    <row r="2" spans="1:1" ht="15.2" customHeight="1" x14ac:dyDescent="0.25">
      <c r="A2" s="18" t="s">
        <v>72</v>
      </c>
    </row>
    <row r="3" spans="1:1" ht="5.0999999999999996" customHeight="1" x14ac:dyDescent="0.2"/>
    <row r="4" spans="1:1" ht="30" customHeight="1" x14ac:dyDescent="0.2">
      <c r="A4" s="19" t="s">
        <v>84</v>
      </c>
    </row>
    <row r="7" spans="1:1" ht="15.2" customHeight="1" x14ac:dyDescent="0.2">
      <c r="A7" s="20" t="s">
        <v>13</v>
      </c>
    </row>
    <row r="8" spans="1:1" ht="15.2" customHeight="1" x14ac:dyDescent="0.2">
      <c r="A8" s="20" t="s">
        <v>85</v>
      </c>
    </row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showGridLines="0" zoomScale="85" zoomScaleNormal="85" zoomScaleSheetLayoutView="100" workbookViewId="0"/>
  </sheetViews>
  <sheetFormatPr defaultColWidth="9.140625" defaultRowHeight="14.25" x14ac:dyDescent="0.25"/>
  <cols>
    <col min="1" max="1" width="15.140625" style="1" customWidth="1"/>
    <col min="2" max="5" width="16.140625" style="1" customWidth="1"/>
    <col min="6" max="8" width="15.7109375" style="1" customWidth="1"/>
    <col min="9" max="10" width="9.140625" style="1"/>
    <col min="11" max="11" width="9.140625" style="1" customWidth="1"/>
    <col min="12" max="16384" width="9.140625" style="1"/>
  </cols>
  <sheetData>
    <row r="1" spans="1:8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3" t="s">
        <v>73</v>
      </c>
    </row>
    <row r="2" spans="1:8" s="2" customFormat="1" ht="15.95" customHeight="1" thickBot="1" x14ac:dyDescent="0.3">
      <c r="A2" s="24" t="s">
        <v>15</v>
      </c>
      <c r="B2" s="25"/>
      <c r="C2" s="25"/>
      <c r="D2" s="25"/>
      <c r="E2" s="25"/>
      <c r="F2" s="25"/>
      <c r="G2" s="25"/>
      <c r="H2" s="26" t="s">
        <v>85</v>
      </c>
    </row>
    <row r="3" spans="1:8" s="2" customFormat="1" ht="13.7" customHeight="1" x14ac:dyDescent="0.25"/>
    <row r="4" spans="1:8" s="2" customFormat="1" ht="13.7" customHeight="1" x14ac:dyDescent="0.25"/>
    <row r="5" spans="1:8" s="2" customFormat="1" ht="13.7" customHeight="1" x14ac:dyDescent="0.25"/>
    <row r="6" spans="1:8" s="2" customFormat="1" ht="13.7" customHeight="1" x14ac:dyDescent="0.25">
      <c r="A6" s="37" t="s">
        <v>92</v>
      </c>
      <c r="B6" s="37"/>
    </row>
    <row r="7" spans="1:8" s="2" customFormat="1" ht="13.7" customHeight="1" x14ac:dyDescent="0.25"/>
    <row r="8" spans="1:8" s="2" customFormat="1" ht="13.7" customHeight="1" x14ac:dyDescent="0.25">
      <c r="A8" s="2" t="s">
        <v>77</v>
      </c>
    </row>
    <row r="9" spans="1:8" s="2" customFormat="1" ht="13.7" customHeight="1" x14ac:dyDescent="0.25">
      <c r="A9" s="2" t="s">
        <v>44</v>
      </c>
    </row>
    <row r="10" spans="1:8" s="2" customFormat="1" ht="13.7" customHeight="1" x14ac:dyDescent="0.25"/>
    <row r="11" spans="1:8" s="2" customFormat="1" ht="13.7" customHeight="1" x14ac:dyDescent="0.25">
      <c r="A11" s="38" t="s">
        <v>74</v>
      </c>
      <c r="B11" s="38"/>
      <c r="C11" s="38"/>
      <c r="D11" s="38"/>
      <c r="E11" s="38"/>
      <c r="F11" s="38"/>
      <c r="G11" s="38"/>
      <c r="H11" s="38"/>
    </row>
    <row r="12" spans="1:8" s="2" customFormat="1" ht="13.7" customHeight="1" x14ac:dyDescent="0.25">
      <c r="A12" s="38" t="s">
        <v>8</v>
      </c>
      <c r="B12" s="38"/>
      <c r="C12" s="38"/>
      <c r="D12" s="38"/>
      <c r="E12" s="38"/>
      <c r="F12" s="38"/>
      <c r="G12" s="38"/>
      <c r="H12" s="38"/>
    </row>
    <row r="13" spans="1:8" s="2" customFormat="1" ht="13.7" customHeight="1" x14ac:dyDescent="0.25"/>
    <row r="14" spans="1:8" s="2" customFormat="1" ht="13.7" customHeight="1" x14ac:dyDescent="0.25">
      <c r="F14" s="39" t="s">
        <v>94</v>
      </c>
      <c r="G14" s="40"/>
      <c r="H14" s="40"/>
    </row>
    <row r="15" spans="1:8" s="2" customFormat="1" ht="13.7" customHeight="1" x14ac:dyDescent="0.25">
      <c r="F15" s="67">
        <v>2016</v>
      </c>
      <c r="G15" s="67">
        <v>2017</v>
      </c>
      <c r="H15" s="67">
        <v>2018</v>
      </c>
    </row>
    <row r="16" spans="1:8" s="2" customFormat="1" ht="13.7" customHeight="1" x14ac:dyDescent="0.25">
      <c r="F16" s="42"/>
      <c r="H16" s="65"/>
    </row>
    <row r="17" spans="1:12" s="2" customFormat="1" ht="13.7" customHeight="1" x14ac:dyDescent="0.25">
      <c r="A17" s="4" t="s">
        <v>76</v>
      </c>
      <c r="F17" s="68">
        <v>1253.0039999999999</v>
      </c>
      <c r="G17" s="68">
        <v>1341.587</v>
      </c>
      <c r="H17" s="68">
        <v>1419.385</v>
      </c>
    </row>
    <row r="18" spans="1:12" s="2" customFormat="1" ht="13.7" customHeight="1" x14ac:dyDescent="0.25">
      <c r="A18" s="4"/>
      <c r="F18" s="68"/>
      <c r="G18" s="68"/>
      <c r="H18" s="68"/>
    </row>
    <row r="19" spans="1:12" s="2" customFormat="1" ht="13.7" customHeight="1" x14ac:dyDescent="0.25">
      <c r="A19" s="4" t="s">
        <v>50</v>
      </c>
      <c r="F19" s="29">
        <v>1128.644</v>
      </c>
      <c r="G19" s="29">
        <v>1218.02</v>
      </c>
      <c r="H19" s="29">
        <v>1290.425</v>
      </c>
    </row>
    <row r="20" spans="1:12" s="2" customFormat="1" ht="13.7" customHeight="1" x14ac:dyDescent="0.25">
      <c r="A20" s="32" t="s">
        <v>51</v>
      </c>
      <c r="B20" s="33"/>
      <c r="C20" s="33"/>
      <c r="D20" s="33"/>
      <c r="E20" s="33"/>
      <c r="F20" s="69">
        <v>124.36</v>
      </c>
      <c r="G20" s="69">
        <v>123.56699999999999</v>
      </c>
      <c r="H20" s="69">
        <v>128.96</v>
      </c>
    </row>
    <row r="21" spans="1:12" s="2" customFormat="1" ht="13.7" customHeight="1" x14ac:dyDescent="0.25">
      <c r="F21" s="29"/>
      <c r="G21" s="66"/>
      <c r="H21" s="66"/>
    </row>
    <row r="22" spans="1:12" s="2" customFormat="1" ht="13.7" customHeight="1" x14ac:dyDescent="0.25">
      <c r="A22" s="4" t="s">
        <v>52</v>
      </c>
      <c r="F22" s="68">
        <v>19.674074549237169</v>
      </c>
      <c r="G22" s="68">
        <v>22.466661588302248</v>
      </c>
      <c r="H22" s="68">
        <v>24.00492879078525</v>
      </c>
      <c r="J22" s="10"/>
      <c r="K22" s="10"/>
      <c r="L22" s="10"/>
    </row>
    <row r="23" spans="1:12" s="2" customFormat="1" ht="13.7" customHeight="1" x14ac:dyDescent="0.25">
      <c r="A23" s="55" t="s">
        <v>122</v>
      </c>
      <c r="F23" s="29">
        <v>-9.0304860000000016</v>
      </c>
      <c r="G23" s="29">
        <v>-8.9065680000000018</v>
      </c>
      <c r="H23" s="29">
        <v>-6.9860319999999998</v>
      </c>
      <c r="J23" s="10"/>
      <c r="K23" s="10"/>
      <c r="L23" s="10"/>
    </row>
    <row r="24" spans="1:12" s="2" customFormat="1" ht="13.7" customHeight="1" x14ac:dyDescent="0.25">
      <c r="A24" s="55" t="s">
        <v>108</v>
      </c>
      <c r="F24" s="29">
        <v>-7.4999999999999997E-2</v>
      </c>
      <c r="G24" s="29">
        <v>-1.226</v>
      </c>
      <c r="H24" s="29">
        <v>-1.5589999999999999</v>
      </c>
      <c r="J24" s="10"/>
      <c r="K24" s="10"/>
      <c r="L24" s="10"/>
    </row>
    <row r="25" spans="1:12" s="2" customFormat="1" ht="13.7" customHeight="1" x14ac:dyDescent="0.25">
      <c r="A25" s="32" t="s">
        <v>53</v>
      </c>
      <c r="B25" s="33"/>
      <c r="C25" s="33"/>
      <c r="D25" s="33"/>
      <c r="E25" s="33"/>
      <c r="F25" s="69">
        <v>10.568588549237168</v>
      </c>
      <c r="G25" s="69">
        <v>12.334093588302249</v>
      </c>
      <c r="H25" s="69">
        <v>15.459896790785249</v>
      </c>
    </row>
    <row r="26" spans="1:12" s="2" customFormat="1" ht="13.7" customHeight="1" x14ac:dyDescent="0.25">
      <c r="F26" s="29"/>
      <c r="G26" s="66"/>
      <c r="H26" s="66"/>
    </row>
    <row r="27" spans="1:12" s="2" customFormat="1" ht="13.7" customHeight="1" x14ac:dyDescent="0.25">
      <c r="A27" s="2" t="s">
        <v>54</v>
      </c>
      <c r="F27" s="68">
        <v>113.79141145076282</v>
      </c>
      <c r="G27" s="68">
        <v>111.23290641169775</v>
      </c>
      <c r="H27" s="68">
        <v>113.50010320921476</v>
      </c>
    </row>
    <row r="28" spans="1:12" s="2" customFormat="1" ht="13.7" customHeight="1" x14ac:dyDescent="0.25">
      <c r="F28" s="29"/>
      <c r="G28" s="66"/>
      <c r="H28" s="66"/>
    </row>
    <row r="29" spans="1:12" s="2" customFormat="1" ht="13.7" customHeight="1" x14ac:dyDescent="0.25">
      <c r="A29" s="48" t="s">
        <v>55</v>
      </c>
      <c r="B29" s="47"/>
      <c r="C29" s="47"/>
      <c r="D29" s="47"/>
      <c r="E29" s="47"/>
      <c r="F29" s="70">
        <v>41.480226644200236</v>
      </c>
      <c r="G29" s="70">
        <v>40.377545027446288</v>
      </c>
      <c r="H29" s="70">
        <v>29.850527144023481</v>
      </c>
    </row>
    <row r="30" spans="1:12" s="2" customFormat="1" ht="13.7" customHeight="1" x14ac:dyDescent="0.25">
      <c r="A30" s="3" t="s">
        <v>11</v>
      </c>
      <c r="F30" s="71">
        <v>72.311184806562579</v>
      </c>
      <c r="G30" s="71">
        <v>70.855361384251481</v>
      </c>
      <c r="H30" s="71">
        <v>83.649576065191269</v>
      </c>
    </row>
    <row r="31" spans="1:12" s="2" customFormat="1" ht="13.7" customHeight="1" x14ac:dyDescent="0.25"/>
    <row r="32" spans="1:12" s="2" customFormat="1" ht="13.7" customHeight="1" x14ac:dyDescent="0.25">
      <c r="H32" s="35"/>
    </row>
    <row r="33" spans="1:8" s="2" customFormat="1" ht="13.7" customHeight="1" x14ac:dyDescent="0.25">
      <c r="A33" s="63"/>
      <c r="H33" s="35"/>
    </row>
    <row r="34" spans="1:8" s="2" customFormat="1" ht="13.7" customHeight="1" x14ac:dyDescent="0.25">
      <c r="A34" s="63"/>
      <c r="H34" s="35"/>
    </row>
    <row r="35" spans="1:8" s="2" customFormat="1" ht="13.7" customHeight="1" x14ac:dyDescent="0.25">
      <c r="H35" s="35"/>
    </row>
    <row r="36" spans="1:8" s="2" customFormat="1" ht="13.7" customHeight="1" x14ac:dyDescent="0.25"/>
    <row r="37" spans="1:8" ht="13.7" customHeight="1" x14ac:dyDescent="0.25"/>
    <row r="38" spans="1:8" ht="13.7" customHeight="1" x14ac:dyDescent="0.25"/>
    <row r="39" spans="1:8" ht="13.7" customHeight="1" x14ac:dyDescent="0.25"/>
    <row r="40" spans="1:8" ht="13.7" customHeight="1" x14ac:dyDescent="0.25"/>
    <row r="41" spans="1:8" ht="13.7" customHeight="1" x14ac:dyDescent="0.25"/>
    <row r="42" spans="1:8" ht="13.7" customHeight="1" x14ac:dyDescent="0.25"/>
    <row r="43" spans="1:8" ht="13.7" customHeight="1" x14ac:dyDescent="0.25"/>
    <row r="44" spans="1:8" ht="13.7" customHeight="1" x14ac:dyDescent="0.25"/>
    <row r="45" spans="1:8" ht="13.7" customHeight="1" x14ac:dyDescent="0.25"/>
    <row r="46" spans="1:8" ht="13.7" customHeight="1" x14ac:dyDescent="0.25"/>
    <row r="47" spans="1:8" ht="13.7" customHeight="1" x14ac:dyDescent="0.25">
      <c r="A47" s="27"/>
    </row>
    <row r="48" spans="1:8" ht="13.7" customHeight="1" x14ac:dyDescent="0.25">
      <c r="A48" s="27"/>
    </row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  <row r="59" ht="13.7" customHeight="1" x14ac:dyDescent="0.25"/>
    <row r="60" ht="13.7" customHeight="1" x14ac:dyDescent="0.25"/>
    <row r="61" ht="13.7" customHeight="1" x14ac:dyDescent="0.25"/>
    <row r="62" ht="13.7" customHeight="1" x14ac:dyDescent="0.25"/>
    <row r="63" ht="13.7" customHeight="1" x14ac:dyDescent="0.25"/>
    <row r="64" ht="13.7" customHeight="1" x14ac:dyDescent="0.25"/>
    <row r="65" ht="13.7" customHeight="1" x14ac:dyDescent="0.25"/>
    <row r="66" ht="13.7" customHeight="1" x14ac:dyDescent="0.25"/>
    <row r="67" ht="13.7" customHeight="1" x14ac:dyDescent="0.25"/>
    <row r="68" ht="13.7" customHeight="1" x14ac:dyDescent="0.25"/>
    <row r="69" ht="13.7" customHeight="1" x14ac:dyDescent="0.25"/>
    <row r="70" ht="13.7" customHeight="1" x14ac:dyDescent="0.25"/>
    <row r="71" ht="13.7" customHeight="1" x14ac:dyDescent="0.25"/>
    <row r="72" ht="13.7" customHeight="1" x14ac:dyDescent="0.25"/>
    <row r="73" ht="13.7" customHeight="1" x14ac:dyDescent="0.25"/>
    <row r="74" ht="13.7" customHeight="1" x14ac:dyDescent="0.25"/>
    <row r="75" ht="13.7" customHeight="1" x14ac:dyDescent="0.25"/>
    <row r="76" ht="13.7" customHeight="1" x14ac:dyDescent="0.25"/>
    <row r="77" ht="13.7" customHeight="1" x14ac:dyDescent="0.25"/>
    <row r="78" ht="13.7" customHeight="1" x14ac:dyDescent="0.25"/>
    <row r="79" ht="13.7" customHeight="1" x14ac:dyDescent="0.25"/>
    <row r="80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8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2" width="10.7109375" style="1" customWidth="1"/>
    <col min="13" max="14" width="9.140625" style="1"/>
    <col min="15" max="15" width="1.7109375" style="1" customWidth="1"/>
    <col min="16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16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102</v>
      </c>
      <c r="B6" s="37"/>
    </row>
    <row r="7" spans="1:12" s="2" customFormat="1" ht="13.7" customHeight="1" x14ac:dyDescent="0.25"/>
    <row r="8" spans="1:12" s="2" customFormat="1" ht="13.7" customHeight="1" x14ac:dyDescent="0.25">
      <c r="A8" s="2" t="s">
        <v>17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1</v>
      </c>
      <c r="B15" s="5"/>
      <c r="C15" s="5"/>
      <c r="D15" s="5"/>
      <c r="E15" s="5"/>
      <c r="F15" s="5"/>
      <c r="G15" s="5"/>
      <c r="H15" s="28"/>
      <c r="I15" s="28"/>
      <c r="J15" s="28"/>
      <c r="K15" s="28"/>
      <c r="L15" s="28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s="2" customFormat="1" ht="13.7" customHeight="1" x14ac:dyDescent="0.25">
      <c r="A17" s="59" t="s">
        <v>115</v>
      </c>
      <c r="B17" s="5"/>
      <c r="C17" s="5"/>
      <c r="D17" s="5"/>
      <c r="E17" s="5"/>
      <c r="F17" s="5"/>
      <c r="G17" s="5"/>
      <c r="H17" s="76">
        <v>7.4999999999999997E-2</v>
      </c>
      <c r="I17" s="76">
        <v>0.06</v>
      </c>
      <c r="J17" s="76">
        <v>0.05</v>
      </c>
      <c r="K17" s="76">
        <v>3.5000000000000003E-2</v>
      </c>
      <c r="L17" s="76">
        <v>0.03</v>
      </c>
    </row>
    <row r="18" spans="1:12" s="2" customFormat="1" ht="13.7" customHeight="1" x14ac:dyDescent="0.25">
      <c r="A18" s="59" t="s">
        <v>116</v>
      </c>
      <c r="B18" s="5"/>
      <c r="C18" s="5"/>
      <c r="D18" s="5"/>
      <c r="E18" s="5"/>
      <c r="F18" s="5"/>
      <c r="G18" s="5"/>
      <c r="H18" s="77">
        <v>9.6000000000000002E-2</v>
      </c>
      <c r="I18" s="77">
        <v>9.5000000000000001E-2</v>
      </c>
      <c r="J18" s="77">
        <v>9.7000000000000003E-2</v>
      </c>
      <c r="K18" s="77">
        <v>9.8000000000000004E-2</v>
      </c>
      <c r="L18" s="77">
        <v>9.9000000000000005E-2</v>
      </c>
    </row>
    <row r="19" spans="1:12" s="2" customFormat="1" ht="13.7" customHeight="1" x14ac:dyDescent="0.25">
      <c r="A19" s="59" t="s">
        <v>117</v>
      </c>
      <c r="B19" s="5"/>
      <c r="C19" s="5"/>
      <c r="D19" s="5"/>
      <c r="E19" s="5"/>
      <c r="F19" s="5"/>
      <c r="G19" s="5"/>
      <c r="H19" s="79">
        <v>-4</v>
      </c>
      <c r="I19" s="79">
        <v>-6</v>
      </c>
      <c r="J19" s="79">
        <v>-7</v>
      </c>
      <c r="K19" s="79">
        <v>-9</v>
      </c>
      <c r="L19" s="79">
        <v>-11</v>
      </c>
    </row>
    <row r="20" spans="1:12" s="2" customFormat="1" ht="13.7" customHeight="1" x14ac:dyDescent="0.25">
      <c r="A20" s="5" t="s">
        <v>2</v>
      </c>
      <c r="B20" s="5"/>
      <c r="C20" s="5"/>
      <c r="D20" s="5"/>
      <c r="E20" s="5"/>
      <c r="F20" s="5"/>
      <c r="G20" s="5"/>
      <c r="H20" s="56">
        <v>0.26500000000000001</v>
      </c>
      <c r="I20" s="56">
        <v>0.26500000000000001</v>
      </c>
      <c r="J20" s="56">
        <v>0.26500000000000001</v>
      </c>
      <c r="K20" s="56">
        <v>0.26500000000000001</v>
      </c>
      <c r="L20" s="56">
        <v>0.26500000000000001</v>
      </c>
    </row>
    <row r="21" spans="1:12" s="2" customFormat="1" ht="13.7" customHeight="1" x14ac:dyDescent="0.25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  <c r="L21" s="15"/>
    </row>
    <row r="22" spans="1:12" s="2" customFormat="1" ht="13.7" customHeight="1" x14ac:dyDescent="0.25"/>
    <row r="23" spans="1:12" s="2" customFormat="1" ht="13.7" customHeight="1" x14ac:dyDescent="0.25">
      <c r="H23" s="60"/>
    </row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>
      <c r="A26" s="16"/>
    </row>
    <row r="27" spans="1:12" s="2" customFormat="1" ht="13.7" customHeight="1" x14ac:dyDescent="0.25">
      <c r="A27" s="16"/>
    </row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ht="13.7" customHeight="1" x14ac:dyDescent="0.25"/>
    <row r="46" ht="13.7" customHeight="1" x14ac:dyDescent="0.25"/>
    <row r="47" ht="13.7" customHeight="1" x14ac:dyDescent="0.25"/>
    <row r="48" ht="13.7" customHeight="1" x14ac:dyDescent="0.25"/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</sheetData>
  <pageMargins left="0.5" right="0.5" top="0.5" bottom="0.5" header="0.3" footer="0.3"/>
  <pageSetup fitToHeight="0" orientation="landscape" horizontalDpi="300" verticalDpi="300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showGridLines="0" zoomScale="85" zoomScaleNormal="85" zoomScaleSheetLayoutView="100" workbookViewId="0"/>
  </sheetViews>
  <sheetFormatPr defaultColWidth="9.140625" defaultRowHeight="14.25" x14ac:dyDescent="0.25"/>
  <cols>
    <col min="1" max="1" width="14.140625" style="1" customWidth="1"/>
    <col min="2" max="8" width="16.140625" style="1" customWidth="1"/>
    <col min="9" max="10" width="9.140625" style="1"/>
    <col min="11" max="11" width="1.7109375" style="1" customWidth="1"/>
    <col min="12" max="16384" width="9.140625" style="1"/>
  </cols>
  <sheetData>
    <row r="1" spans="1:9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3" t="s">
        <v>73</v>
      </c>
    </row>
    <row r="2" spans="1:9" s="2" customFormat="1" ht="15.95" customHeight="1" thickBot="1" x14ac:dyDescent="0.3">
      <c r="A2" s="24" t="s">
        <v>18</v>
      </c>
      <c r="B2" s="25"/>
      <c r="C2" s="25"/>
      <c r="D2" s="25"/>
      <c r="E2" s="25"/>
      <c r="F2" s="25"/>
      <c r="G2" s="25"/>
      <c r="H2" s="26" t="s">
        <v>85</v>
      </c>
    </row>
    <row r="3" spans="1:9" s="2" customFormat="1" ht="13.7" customHeight="1" x14ac:dyDescent="0.25"/>
    <row r="4" spans="1:9" s="2" customFormat="1" ht="13.7" customHeight="1" x14ac:dyDescent="0.25"/>
    <row r="5" spans="1:9" s="2" customFormat="1" ht="13.7" customHeight="1" x14ac:dyDescent="0.25"/>
    <row r="6" spans="1:9" s="2" customFormat="1" ht="13.7" customHeight="1" x14ac:dyDescent="0.25">
      <c r="A6" s="37" t="s">
        <v>91</v>
      </c>
      <c r="B6" s="37"/>
    </row>
    <row r="7" spans="1:9" s="2" customFormat="1" ht="13.7" customHeight="1" x14ac:dyDescent="0.25"/>
    <row r="8" spans="1:9" s="2" customFormat="1" ht="13.7" customHeight="1" x14ac:dyDescent="0.25">
      <c r="A8" s="2" t="s">
        <v>78</v>
      </c>
    </row>
    <row r="9" spans="1:9" s="2" customFormat="1" ht="13.7" customHeight="1" x14ac:dyDescent="0.25">
      <c r="A9" s="2" t="s">
        <v>44</v>
      </c>
    </row>
    <row r="10" spans="1:9" s="2" customFormat="1" ht="13.7" customHeight="1" x14ac:dyDescent="0.25"/>
    <row r="11" spans="1:9" s="2" customFormat="1" ht="13.7" customHeight="1" x14ac:dyDescent="0.25">
      <c r="A11" s="38" t="s">
        <v>75</v>
      </c>
      <c r="B11" s="38"/>
      <c r="C11" s="38"/>
      <c r="D11" s="38"/>
      <c r="E11" s="38"/>
      <c r="F11" s="38"/>
      <c r="G11" s="38"/>
      <c r="H11" s="38"/>
      <c r="I11" s="37"/>
    </row>
    <row r="12" spans="1:9" s="2" customFormat="1" ht="13.7" customHeight="1" x14ac:dyDescent="0.25">
      <c r="A12" s="38" t="s">
        <v>8</v>
      </c>
      <c r="B12" s="38"/>
      <c r="C12" s="38"/>
      <c r="D12" s="38"/>
      <c r="E12" s="38"/>
      <c r="F12" s="38"/>
      <c r="G12" s="38"/>
      <c r="H12" s="38"/>
      <c r="I12" s="37"/>
    </row>
    <row r="13" spans="1:9" s="2" customFormat="1" ht="13.7" customHeight="1" x14ac:dyDescent="0.25"/>
    <row r="14" spans="1:9" s="2" customFormat="1" ht="13.7" customHeight="1" x14ac:dyDescent="0.25">
      <c r="G14" s="39" t="s">
        <v>95</v>
      </c>
      <c r="H14" s="39"/>
    </row>
    <row r="15" spans="1:9" s="2" customFormat="1" ht="13.7" customHeight="1" x14ac:dyDescent="0.25">
      <c r="F15" s="81">
        <v>2016</v>
      </c>
      <c r="G15" s="67">
        <v>2017</v>
      </c>
      <c r="H15" s="67">
        <v>2018</v>
      </c>
    </row>
    <row r="16" spans="1:9" s="2" customFormat="1" ht="13.7" customHeight="1" x14ac:dyDescent="0.25">
      <c r="A16" s="43" t="s">
        <v>0</v>
      </c>
      <c r="H16" s="65"/>
    </row>
    <row r="17" spans="1:10" s="2" customFormat="1" ht="5.0999999999999996" customHeight="1" x14ac:dyDescent="0.25">
      <c r="H17" s="65"/>
    </row>
    <row r="18" spans="1:10" s="2" customFormat="1" ht="13.7" customHeight="1" x14ac:dyDescent="0.25">
      <c r="A18" s="4" t="s">
        <v>60</v>
      </c>
      <c r="F18" s="72">
        <v>274.32188480656254</v>
      </c>
      <c r="G18" s="72">
        <v>277.49724619081405</v>
      </c>
      <c r="H18" s="72">
        <v>161.84702225600537</v>
      </c>
    </row>
    <row r="19" spans="1:10" s="2" customFormat="1" ht="13.7" customHeight="1" x14ac:dyDescent="0.25">
      <c r="A19" s="4" t="s">
        <v>21</v>
      </c>
      <c r="F19" s="73">
        <v>21.815000000000001</v>
      </c>
      <c r="G19" s="73">
        <v>23.667000000000002</v>
      </c>
      <c r="H19" s="73">
        <v>24.562999999999999</v>
      </c>
      <c r="J19" s="35"/>
    </row>
    <row r="20" spans="1:10" s="2" customFormat="1" ht="13.7" customHeight="1" x14ac:dyDescent="0.25">
      <c r="A20" s="4" t="s">
        <v>61</v>
      </c>
      <c r="F20" s="70">
        <v>37.122999999999998</v>
      </c>
      <c r="G20" s="70">
        <v>38.615000000000002</v>
      </c>
      <c r="H20" s="70">
        <v>46.481999999999999</v>
      </c>
    </row>
    <row r="21" spans="1:10" s="2" customFormat="1" ht="13.7" customHeight="1" x14ac:dyDescent="0.25">
      <c r="A21" s="32" t="s">
        <v>56</v>
      </c>
      <c r="B21" s="33"/>
      <c r="C21" s="33"/>
      <c r="D21" s="33"/>
      <c r="E21" s="33"/>
      <c r="F21" s="72">
        <v>333.25988480656258</v>
      </c>
      <c r="G21" s="72">
        <v>339.77924619081409</v>
      </c>
      <c r="H21" s="72">
        <v>232.89202225600539</v>
      </c>
      <c r="J21" s="35"/>
    </row>
    <row r="22" spans="1:10" s="2" customFormat="1" ht="13.7" customHeight="1" x14ac:dyDescent="0.25">
      <c r="F22" s="73"/>
      <c r="G22" s="73"/>
      <c r="H22" s="73"/>
    </row>
    <row r="23" spans="1:10" s="2" customFormat="1" ht="13.7" customHeight="1" x14ac:dyDescent="0.25">
      <c r="A23" s="2" t="s">
        <v>67</v>
      </c>
      <c r="F23" s="72">
        <v>857.76499999999999</v>
      </c>
      <c r="G23" s="72">
        <v>947.29200000000003</v>
      </c>
      <c r="H23" s="72">
        <v>1214.018</v>
      </c>
    </row>
    <row r="24" spans="1:10" s="2" customFormat="1" ht="13.7" customHeight="1" x14ac:dyDescent="0.25">
      <c r="A24" s="2" t="s">
        <v>62</v>
      </c>
      <c r="F24" s="29">
        <v>66.622</v>
      </c>
      <c r="G24" s="29">
        <v>73.459000000000003</v>
      </c>
      <c r="H24" s="29">
        <v>49.515999999999998</v>
      </c>
      <c r="J24" s="35"/>
    </row>
    <row r="25" spans="1:10" s="2" customFormat="1" ht="13.7" customHeight="1" x14ac:dyDescent="0.25">
      <c r="A25" s="49" t="s">
        <v>57</v>
      </c>
      <c r="B25" s="50"/>
      <c r="C25" s="50"/>
      <c r="D25" s="50"/>
      <c r="E25" s="50"/>
      <c r="F25" s="74">
        <v>1257.6468848065626</v>
      </c>
      <c r="G25" s="74">
        <v>1360.5302461908141</v>
      </c>
      <c r="H25" s="74">
        <v>1496.4260222560054</v>
      </c>
      <c r="I25" s="35"/>
      <c r="J25" s="35"/>
    </row>
    <row r="26" spans="1:10" s="2" customFormat="1" ht="13.7" customHeight="1" x14ac:dyDescent="0.25">
      <c r="F26" s="73"/>
      <c r="G26" s="73"/>
      <c r="H26" s="73"/>
    </row>
    <row r="27" spans="1:10" s="2" customFormat="1" ht="13.7" customHeight="1" x14ac:dyDescent="0.25">
      <c r="A27" s="43" t="s">
        <v>12</v>
      </c>
      <c r="F27" s="73"/>
      <c r="G27" s="73"/>
      <c r="H27" s="73"/>
    </row>
    <row r="28" spans="1:10" s="2" customFormat="1" ht="5.0999999999999996" customHeight="1" x14ac:dyDescent="0.25">
      <c r="A28" s="43"/>
      <c r="F28" s="73"/>
      <c r="G28" s="73"/>
      <c r="H28" s="73"/>
    </row>
    <row r="29" spans="1:10" s="2" customFormat="1" ht="13.7" customHeight="1" x14ac:dyDescent="0.25">
      <c r="A29" s="61" t="s">
        <v>96</v>
      </c>
      <c r="F29" s="72">
        <v>6.9009999999999998</v>
      </c>
      <c r="G29" s="72">
        <v>16.010000000000002</v>
      </c>
      <c r="H29" s="72">
        <v>20.108000000000001</v>
      </c>
    </row>
    <row r="30" spans="1:10" s="2" customFormat="1" ht="13.7" customHeight="1" x14ac:dyDescent="0.25">
      <c r="A30" s="61" t="s">
        <v>101</v>
      </c>
      <c r="F30" s="73">
        <v>115.131</v>
      </c>
      <c r="G30" s="73">
        <v>96.661000000000001</v>
      </c>
      <c r="H30" s="73">
        <v>105.127</v>
      </c>
    </row>
    <row r="31" spans="1:10" s="2" customFormat="1" ht="13.7" customHeight="1" x14ac:dyDescent="0.25">
      <c r="A31" s="4" t="s">
        <v>63</v>
      </c>
      <c r="F31" s="29">
        <v>197.136</v>
      </c>
      <c r="G31" s="29">
        <v>194.001</v>
      </c>
      <c r="H31" s="29">
        <v>210.184</v>
      </c>
      <c r="I31" s="10"/>
      <c r="J31" s="10"/>
    </row>
    <row r="32" spans="1:10" s="2" customFormat="1" ht="13.7" customHeight="1" x14ac:dyDescent="0.25">
      <c r="A32" s="49" t="s">
        <v>58</v>
      </c>
      <c r="B32" s="50"/>
      <c r="C32" s="50"/>
      <c r="D32" s="50"/>
      <c r="E32" s="50"/>
      <c r="F32" s="74">
        <v>319.16800000000001</v>
      </c>
      <c r="G32" s="74">
        <v>306.67200000000003</v>
      </c>
      <c r="H32" s="74">
        <v>335.41899999999998</v>
      </c>
      <c r="J32" s="35"/>
    </row>
    <row r="33" spans="1:10" s="2" customFormat="1" ht="13.7" customHeight="1" x14ac:dyDescent="0.25">
      <c r="F33" s="73"/>
      <c r="G33" s="73"/>
      <c r="H33" s="73"/>
    </row>
    <row r="34" spans="1:10" s="2" customFormat="1" ht="13.7" customHeight="1" x14ac:dyDescent="0.25">
      <c r="A34" s="2" t="s">
        <v>59</v>
      </c>
      <c r="F34" s="72">
        <v>588.17999999999995</v>
      </c>
      <c r="G34" s="72">
        <v>695.26</v>
      </c>
      <c r="H34" s="72">
        <v>763.94200000000001</v>
      </c>
    </row>
    <row r="35" spans="1:10" s="5" customFormat="1" ht="13.7" customHeight="1" x14ac:dyDescent="0.25">
      <c r="A35" s="5" t="s">
        <v>64</v>
      </c>
      <c r="F35" s="29">
        <v>49.255000000000003</v>
      </c>
      <c r="G35" s="29">
        <v>78.606999999999999</v>
      </c>
      <c r="H35" s="29">
        <v>122.14</v>
      </c>
      <c r="I35" s="46"/>
      <c r="J35" s="46"/>
    </row>
    <row r="36" spans="1:10" s="2" customFormat="1" ht="13.7" customHeight="1" x14ac:dyDescent="0.25">
      <c r="A36" s="49" t="s">
        <v>65</v>
      </c>
      <c r="B36" s="50"/>
      <c r="C36" s="50"/>
      <c r="D36" s="50"/>
      <c r="E36" s="50"/>
      <c r="F36" s="74">
        <v>956.60299999999995</v>
      </c>
      <c r="G36" s="74">
        <v>1080.539</v>
      </c>
      <c r="H36" s="74">
        <v>1221.501</v>
      </c>
    </row>
    <row r="37" spans="1:10" s="2" customFormat="1" ht="13.7" customHeight="1" x14ac:dyDescent="0.25">
      <c r="F37" s="73"/>
      <c r="G37" s="73"/>
      <c r="H37" s="73"/>
    </row>
    <row r="38" spans="1:10" s="2" customFormat="1" ht="13.7" customHeight="1" x14ac:dyDescent="0.25">
      <c r="A38" s="2" t="s">
        <v>121</v>
      </c>
      <c r="F38" s="29">
        <v>301.04388480656257</v>
      </c>
      <c r="G38" s="29">
        <v>279.99124619081402</v>
      </c>
      <c r="H38" s="29">
        <v>274.92502225600526</v>
      </c>
      <c r="J38" s="35"/>
    </row>
    <row r="39" spans="1:10" s="2" customFormat="1" ht="13.7" customHeight="1" x14ac:dyDescent="0.25">
      <c r="A39" s="49" t="s">
        <v>66</v>
      </c>
      <c r="B39" s="50"/>
      <c r="C39" s="50"/>
      <c r="D39" s="50"/>
      <c r="E39" s="50"/>
      <c r="F39" s="74">
        <v>1257.6468848065626</v>
      </c>
      <c r="G39" s="74">
        <v>1360.5302461908141</v>
      </c>
      <c r="H39" s="74">
        <v>1496.4260222560054</v>
      </c>
      <c r="J39" s="35"/>
    </row>
    <row r="40" spans="1:10" ht="13.7" customHeight="1" x14ac:dyDescent="0.25">
      <c r="F40" s="82"/>
      <c r="G40" s="82"/>
      <c r="H40" s="82"/>
    </row>
    <row r="41" spans="1:10" ht="13.7" customHeight="1" x14ac:dyDescent="0.25">
      <c r="A41" s="2" t="s">
        <v>106</v>
      </c>
      <c r="H41" s="51"/>
    </row>
    <row r="42" spans="1:10" ht="13.7" customHeight="1" x14ac:dyDescent="0.25"/>
    <row r="43" spans="1:10" ht="13.7" customHeight="1" x14ac:dyDescent="0.25"/>
    <row r="44" spans="1:10" ht="13.7" customHeight="1" x14ac:dyDescent="0.25"/>
    <row r="45" spans="1:10" ht="13.7" customHeight="1" x14ac:dyDescent="0.25"/>
    <row r="46" spans="1:10" ht="13.7" customHeight="1" x14ac:dyDescent="0.25"/>
    <row r="47" spans="1:10" ht="13.7" customHeight="1" x14ac:dyDescent="0.25"/>
    <row r="48" spans="1:10" ht="12.75" customHeight="1" x14ac:dyDescent="0.25"/>
    <row r="49" spans="7:8" ht="12.75" customHeight="1" x14ac:dyDescent="0.25"/>
    <row r="50" spans="7:8" ht="12.75" customHeight="1" x14ac:dyDescent="0.25"/>
    <row r="51" spans="7:8" ht="12.75" customHeight="1" x14ac:dyDescent="0.25"/>
    <row r="52" spans="7:8" ht="12.75" customHeight="1" x14ac:dyDescent="0.25"/>
    <row r="53" spans="7:8" ht="12.75" customHeight="1" x14ac:dyDescent="0.25"/>
    <row r="54" spans="7:8" ht="12.75" customHeight="1" x14ac:dyDescent="0.25"/>
    <row r="55" spans="7:8" ht="12.75" customHeight="1" x14ac:dyDescent="0.25"/>
    <row r="56" spans="7:8" ht="12.75" customHeight="1" x14ac:dyDescent="0.25"/>
    <row r="57" spans="7:8" ht="12.75" customHeight="1" x14ac:dyDescent="0.25"/>
    <row r="58" spans="7:8" ht="12.75" customHeight="1" x14ac:dyDescent="0.25"/>
    <row r="59" spans="7:8" ht="12.75" customHeight="1" x14ac:dyDescent="0.25"/>
    <row r="60" spans="7:8" ht="12.75" customHeight="1" x14ac:dyDescent="0.25"/>
    <row r="61" spans="7:8" ht="12.75" customHeight="1" x14ac:dyDescent="0.25"/>
    <row r="62" spans="7:8" ht="12.75" customHeight="1" x14ac:dyDescent="0.25">
      <c r="G62" s="36">
        <f>G25-G39</f>
        <v>0</v>
      </c>
      <c r="H62" s="36"/>
    </row>
    <row r="63" spans="7:8" ht="12.75" customHeight="1" x14ac:dyDescent="0.25"/>
    <row r="64" spans="7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19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43</v>
      </c>
      <c r="B6" s="37"/>
    </row>
    <row r="7" spans="1:12" s="2" customFormat="1" ht="13.7" customHeight="1" x14ac:dyDescent="0.25"/>
    <row r="8" spans="1:12" s="2" customFormat="1" ht="13.7" customHeight="1" x14ac:dyDescent="0.25">
      <c r="A8" s="2" t="s">
        <v>23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20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59" t="s">
        <v>62</v>
      </c>
      <c r="B17" s="5"/>
      <c r="C17" s="9"/>
      <c r="D17" s="9"/>
      <c r="E17" s="9"/>
      <c r="F17" s="9"/>
      <c r="G17" s="9"/>
      <c r="H17" s="9">
        <v>49.515999999999998</v>
      </c>
      <c r="I17" s="9">
        <v>49.515999999999998</v>
      </c>
      <c r="J17" s="9">
        <v>49.515999999999998</v>
      </c>
      <c r="K17" s="9">
        <v>49.515999999999998</v>
      </c>
      <c r="L17" s="9">
        <v>49.515999999999998</v>
      </c>
    </row>
    <row r="18" spans="1:12" s="2" customFormat="1" ht="13.7" customHeight="1" x14ac:dyDescent="0.25">
      <c r="A18" s="5"/>
      <c r="B18" s="5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s="2" customFormat="1" ht="13.7" customHeight="1" x14ac:dyDescent="0.25">
      <c r="A19" s="5"/>
      <c r="B19" s="5"/>
      <c r="C19" s="8"/>
      <c r="D19" s="8"/>
      <c r="E19" s="8"/>
      <c r="F19" s="8"/>
      <c r="G19" s="8"/>
      <c r="H19" s="29"/>
      <c r="I19" s="29"/>
      <c r="J19" s="29"/>
      <c r="K19" s="29"/>
      <c r="L19" s="29"/>
    </row>
    <row r="20" spans="1:12" s="2" customFormat="1" ht="13.7" customHeight="1" x14ac:dyDescent="0.25">
      <c r="A20" s="5"/>
      <c r="B20" s="5"/>
      <c r="C20" s="8"/>
      <c r="D20" s="8"/>
      <c r="E20" s="8"/>
      <c r="F20" s="8"/>
      <c r="G20" s="8"/>
      <c r="H20" s="29"/>
      <c r="I20" s="29"/>
      <c r="J20" s="29"/>
      <c r="K20" s="29"/>
      <c r="L20" s="29"/>
    </row>
    <row r="21" spans="1:12" s="2" customFormat="1" ht="13.7" customHeight="1" x14ac:dyDescent="0.25">
      <c r="A21" s="5"/>
      <c r="B21" s="5"/>
      <c r="C21" s="8"/>
      <c r="D21" s="8"/>
      <c r="E21" s="8"/>
      <c r="F21" s="8"/>
      <c r="G21" s="8"/>
      <c r="H21" s="29"/>
      <c r="I21" s="29"/>
      <c r="J21" s="29"/>
      <c r="K21" s="29"/>
      <c r="L21" s="29"/>
    </row>
    <row r="22" spans="1:12" s="2" customFormat="1" ht="13.7" customHeight="1" x14ac:dyDescent="0.25">
      <c r="A22" s="5"/>
      <c r="B22" s="5"/>
      <c r="C22" s="8"/>
      <c r="D22" s="8"/>
      <c r="E22" s="8"/>
      <c r="F22" s="8"/>
      <c r="G22" s="8"/>
      <c r="H22" s="29"/>
      <c r="I22" s="29"/>
      <c r="J22" s="29"/>
      <c r="K22" s="29"/>
      <c r="L22" s="29"/>
    </row>
    <row r="23" spans="1:12" s="2" customFormat="1" ht="13.7" customHeight="1" x14ac:dyDescent="0.25">
      <c r="A23" s="5"/>
      <c r="B23" s="5"/>
      <c r="C23" s="8"/>
      <c r="D23" s="8"/>
      <c r="E23" s="8"/>
      <c r="F23" s="8"/>
      <c r="G23" s="8"/>
      <c r="H23" s="29"/>
      <c r="I23" s="29"/>
      <c r="J23" s="29"/>
      <c r="K23" s="29"/>
      <c r="L23" s="29"/>
    </row>
    <row r="24" spans="1:12" s="2" customFormat="1" ht="13.7" customHeight="1" x14ac:dyDescent="0.25">
      <c r="A24" s="5"/>
      <c r="B24" s="5"/>
      <c r="C24" s="8"/>
      <c r="D24" s="8"/>
      <c r="E24" s="8"/>
      <c r="F24" s="8"/>
      <c r="G24" s="8"/>
      <c r="H24" s="29"/>
      <c r="I24" s="29"/>
      <c r="J24" s="29"/>
      <c r="K24" s="29"/>
      <c r="L24" s="29"/>
    </row>
    <row r="25" spans="1:12" s="2" customFormat="1" ht="13.7" customHeight="1" x14ac:dyDescent="0.25">
      <c r="A25" s="5"/>
      <c r="B25" s="5"/>
      <c r="C25" s="8"/>
      <c r="D25" s="8"/>
      <c r="E25" s="8"/>
      <c r="F25" s="8"/>
      <c r="G25" s="8"/>
      <c r="H25" s="29"/>
      <c r="I25" s="29"/>
      <c r="J25" s="29"/>
      <c r="K25" s="29"/>
      <c r="L25" s="29"/>
    </row>
    <row r="26" spans="1:12" s="2" customFormat="1" ht="13.7" customHeight="1" x14ac:dyDescent="0.25">
      <c r="A26" s="5"/>
      <c r="B26" s="5"/>
      <c r="C26" s="8"/>
      <c r="D26" s="8"/>
      <c r="E26" s="8"/>
      <c r="F26" s="8"/>
      <c r="G26" s="8"/>
      <c r="H26" s="29"/>
      <c r="I26" s="29"/>
      <c r="J26" s="29"/>
      <c r="K26" s="29"/>
      <c r="L26" s="29"/>
    </row>
    <row r="27" spans="1:12" s="2" customFormat="1" ht="13.7" customHeight="1" x14ac:dyDescent="0.25">
      <c r="A27" s="5"/>
      <c r="B27" s="5"/>
      <c r="C27" s="5"/>
      <c r="D27" s="5"/>
      <c r="E27" s="5"/>
      <c r="F27" s="5"/>
      <c r="G27" s="5"/>
      <c r="H27" s="15"/>
      <c r="I27" s="15"/>
      <c r="J27" s="15"/>
      <c r="K27" s="15"/>
      <c r="L27" s="15"/>
    </row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42</v>
      </c>
      <c r="B6" s="37"/>
    </row>
    <row r="7" spans="1:12" s="2" customFormat="1" ht="13.7" customHeight="1" x14ac:dyDescent="0.25"/>
    <row r="8" spans="1:12" s="2" customFormat="1" ht="13.7" customHeight="1" x14ac:dyDescent="0.25">
      <c r="A8" s="2" t="s">
        <v>32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14</v>
      </c>
      <c r="B15" s="5"/>
      <c r="C15" s="5"/>
      <c r="D15" s="5"/>
      <c r="E15" s="5"/>
      <c r="F15" s="5"/>
      <c r="G15" s="5"/>
      <c r="H15" s="28"/>
      <c r="I15" s="28"/>
      <c r="J15" s="28"/>
      <c r="K15" s="28"/>
      <c r="L15" s="28"/>
    </row>
    <row r="16" spans="1:12" s="2" customFormat="1" ht="5.0999999999999996" customHeight="1" x14ac:dyDescent="0.25">
      <c r="A16" s="5"/>
      <c r="B16" s="5"/>
      <c r="C16" s="5"/>
      <c r="D16" s="5"/>
      <c r="E16" s="5"/>
      <c r="F16" s="5"/>
      <c r="G16" s="5"/>
      <c r="H16" s="28"/>
      <c r="I16" s="28"/>
      <c r="J16" s="28"/>
      <c r="K16" s="28"/>
      <c r="L16" s="28"/>
    </row>
    <row r="17" spans="1:12" s="2" customFormat="1" ht="13.7" customHeight="1" x14ac:dyDescent="0.25">
      <c r="A17" s="2" t="s">
        <v>11</v>
      </c>
      <c r="H17" s="30"/>
      <c r="I17" s="30"/>
      <c r="J17" s="30"/>
      <c r="K17" s="30"/>
      <c r="L17" s="30"/>
    </row>
    <row r="18" spans="1:12" s="2" customFormat="1" ht="13.7" customHeight="1" x14ac:dyDescent="0.25">
      <c r="A18" s="2" t="s">
        <v>10</v>
      </c>
      <c r="H18" s="31"/>
      <c r="I18" s="31"/>
      <c r="J18" s="31"/>
      <c r="K18" s="31"/>
      <c r="L18" s="31"/>
    </row>
    <row r="19" spans="1:12" s="2" customFormat="1" ht="13.7" customHeight="1" x14ac:dyDescent="0.25">
      <c r="A19" s="2" t="s">
        <v>24</v>
      </c>
      <c r="H19" s="31"/>
      <c r="I19" s="31"/>
      <c r="J19" s="31"/>
      <c r="K19" s="31"/>
      <c r="L19" s="31"/>
    </row>
    <row r="20" spans="1:12" s="2" customFormat="1" ht="13.7" customHeight="1" x14ac:dyDescent="0.25">
      <c r="A20" s="32" t="s">
        <v>25</v>
      </c>
      <c r="B20" s="33"/>
      <c r="C20" s="33"/>
      <c r="D20" s="33"/>
      <c r="E20" s="33"/>
      <c r="F20" s="33"/>
      <c r="G20" s="33"/>
      <c r="H20" s="34"/>
      <c r="I20" s="34"/>
      <c r="J20" s="34"/>
      <c r="K20" s="34"/>
      <c r="L20" s="34"/>
    </row>
    <row r="21" spans="1:12" s="2" customFormat="1" ht="13.7" customHeight="1" x14ac:dyDescent="0.25">
      <c r="H21" s="35"/>
      <c r="I21" s="35"/>
      <c r="J21" s="35"/>
      <c r="K21" s="35"/>
      <c r="L21" s="35"/>
    </row>
    <row r="22" spans="1:12" s="2" customFormat="1" ht="13.7" customHeight="1" x14ac:dyDescent="0.25">
      <c r="A22" s="2" t="s">
        <v>9</v>
      </c>
      <c r="H22" s="31"/>
      <c r="I22" s="31"/>
      <c r="J22" s="31"/>
      <c r="K22" s="31"/>
      <c r="L22" s="31"/>
    </row>
    <row r="23" spans="1:12" s="2" customFormat="1" ht="13.7" customHeight="1" x14ac:dyDescent="0.25">
      <c r="A23" s="32" t="s">
        <v>26</v>
      </c>
      <c r="B23" s="33"/>
      <c r="C23" s="33"/>
      <c r="D23" s="33"/>
      <c r="E23" s="33"/>
      <c r="F23" s="33"/>
      <c r="G23" s="33"/>
      <c r="H23" s="34"/>
      <c r="I23" s="34"/>
      <c r="J23" s="34"/>
      <c r="K23" s="34"/>
      <c r="L23" s="34"/>
    </row>
    <row r="24" spans="1:12" s="2" customFormat="1" ht="13.7" customHeight="1" x14ac:dyDescent="0.25">
      <c r="H24" s="35"/>
      <c r="I24" s="35"/>
      <c r="J24" s="35"/>
      <c r="K24" s="35"/>
      <c r="L24" s="35"/>
    </row>
    <row r="25" spans="1:12" s="2" customFormat="1" ht="13.7" customHeight="1" x14ac:dyDescent="0.25">
      <c r="A25" s="2" t="s">
        <v>68</v>
      </c>
      <c r="H25" s="30"/>
      <c r="I25" s="30"/>
      <c r="J25" s="30"/>
      <c r="K25" s="30"/>
      <c r="L25" s="30"/>
    </row>
    <row r="26" spans="1:12" s="2" customFormat="1" ht="13.7" customHeight="1" x14ac:dyDescent="0.25">
      <c r="A26" s="2" t="s">
        <v>69</v>
      </c>
      <c r="H26" s="31"/>
      <c r="I26" s="31"/>
      <c r="J26" s="31"/>
      <c r="K26" s="31"/>
      <c r="L26" s="31"/>
    </row>
    <row r="27" spans="1:12" s="2" customFormat="1" ht="13.7" customHeight="1" x14ac:dyDescent="0.25">
      <c r="A27" s="83" t="s">
        <v>87</v>
      </c>
      <c r="H27" s="31"/>
      <c r="I27" s="31"/>
      <c r="J27" s="31"/>
      <c r="K27" s="31"/>
      <c r="L27" s="31"/>
    </row>
    <row r="28" spans="1:12" s="2" customFormat="1" ht="13.7" customHeight="1" x14ac:dyDescent="0.25">
      <c r="A28" s="83" t="s">
        <v>109</v>
      </c>
      <c r="H28" s="31"/>
      <c r="I28" s="31"/>
      <c r="J28" s="31"/>
      <c r="K28" s="31"/>
      <c r="L28" s="31"/>
    </row>
    <row r="29" spans="1:12" s="2" customFormat="1" ht="13.7" customHeight="1" x14ac:dyDescent="0.25">
      <c r="A29" s="32" t="s">
        <v>27</v>
      </c>
      <c r="B29" s="33"/>
      <c r="C29" s="33"/>
      <c r="D29" s="33"/>
      <c r="E29" s="33"/>
      <c r="F29" s="33"/>
      <c r="G29" s="33"/>
      <c r="H29" s="34"/>
      <c r="I29" s="34"/>
      <c r="J29" s="34"/>
      <c r="K29" s="34"/>
      <c r="L29" s="34"/>
    </row>
    <row r="30" spans="1:12" s="2" customFormat="1" ht="13.7" customHeight="1" x14ac:dyDescent="0.25">
      <c r="H30" s="35"/>
      <c r="I30" s="35"/>
      <c r="J30" s="35"/>
      <c r="K30" s="35"/>
      <c r="L30" s="35"/>
    </row>
    <row r="31" spans="1:12" s="2" customFormat="1" ht="13.7" customHeight="1" x14ac:dyDescent="0.25">
      <c r="A31" s="3" t="s">
        <v>28</v>
      </c>
      <c r="H31" s="35"/>
      <c r="I31" s="35"/>
      <c r="J31" s="35"/>
      <c r="K31" s="35"/>
      <c r="L31" s="35"/>
    </row>
    <row r="32" spans="1:12" s="2" customFormat="1" ht="13.7" customHeight="1" x14ac:dyDescent="0.25">
      <c r="H32" s="35"/>
      <c r="I32" s="35"/>
      <c r="J32" s="35"/>
      <c r="K32" s="35"/>
      <c r="L32" s="35"/>
    </row>
    <row r="33" spans="1:12" s="2" customFormat="1" ht="13.7" customHeight="1" x14ac:dyDescent="0.25">
      <c r="A33" s="3" t="s">
        <v>29</v>
      </c>
      <c r="H33" s="30"/>
      <c r="I33" s="30"/>
      <c r="J33" s="30"/>
      <c r="K33" s="30"/>
      <c r="L33" s="30"/>
    </row>
    <row r="34" spans="1:12" s="2" customFormat="1" ht="13.7" customHeight="1" x14ac:dyDescent="0.25">
      <c r="A34" s="3" t="s">
        <v>30</v>
      </c>
      <c r="H34" s="10"/>
      <c r="I34" s="10"/>
      <c r="J34" s="10"/>
      <c r="K34" s="10"/>
      <c r="L34" s="10"/>
    </row>
    <row r="35" spans="1:12" s="2" customFormat="1" ht="13.7" customHeight="1" x14ac:dyDescent="0.25"/>
    <row r="36" spans="1:12" s="2" customFormat="1" ht="13.7" customHeight="1" x14ac:dyDescent="0.25">
      <c r="A36" s="2" t="s">
        <v>31</v>
      </c>
    </row>
    <row r="37" spans="1:12" s="2" customFormat="1" ht="13.7" customHeight="1" x14ac:dyDescent="0.25">
      <c r="A37" s="80" t="s">
        <v>123</v>
      </c>
      <c r="B37" s="33"/>
      <c r="C37" s="33"/>
      <c r="D37" s="33"/>
      <c r="E37" s="33"/>
      <c r="F37" s="33"/>
      <c r="G37" s="33"/>
      <c r="H37" s="34"/>
      <c r="I37" s="34"/>
      <c r="J37" s="34"/>
      <c r="K37" s="34"/>
      <c r="L37" s="34"/>
    </row>
    <row r="38" spans="1:12" s="2" customFormat="1" ht="13.7" customHeight="1" x14ac:dyDescent="0.25">
      <c r="A38" s="2" t="s">
        <v>110</v>
      </c>
    </row>
    <row r="39" spans="1:12" s="2" customFormat="1" ht="13.7" customHeight="1" x14ac:dyDescent="0.25">
      <c r="A39" s="2" t="s">
        <v>111</v>
      </c>
    </row>
    <row r="40" spans="1:12" s="2" customFormat="1" ht="13.7" customHeight="1" x14ac:dyDescent="0.25"/>
    <row r="41" spans="1:12" s="2" customFormat="1" ht="13.7" customHeight="1" x14ac:dyDescent="0.25"/>
    <row r="42" spans="1:12" s="2" customFormat="1" ht="13.7" customHeight="1" x14ac:dyDescent="0.25"/>
    <row r="43" spans="1:12" s="2" customFormat="1" ht="13.7" customHeight="1" x14ac:dyDescent="0.25"/>
    <row r="44" spans="1:12" ht="13.7" customHeight="1" x14ac:dyDescent="0.25"/>
    <row r="45" spans="1:12" ht="13.7" customHeight="1" x14ac:dyDescent="0.25"/>
    <row r="46" spans="1:12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8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125</v>
      </c>
      <c r="B6" s="37"/>
    </row>
    <row r="7" spans="1:12" s="2" customFormat="1" ht="13.7" customHeight="1" x14ac:dyDescent="0.25"/>
    <row r="8" spans="1:12" s="2" customFormat="1" ht="13.7" customHeight="1" x14ac:dyDescent="0.25">
      <c r="A8" s="63" t="s">
        <v>126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124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5" t="s">
        <v>9</v>
      </c>
      <c r="B17" s="5"/>
      <c r="C17" s="5"/>
      <c r="D17" s="5"/>
      <c r="E17" s="8">
        <v>252.68600000000001</v>
      </c>
      <c r="F17" s="8">
        <v>199.74299999999999</v>
      </c>
      <c r="G17" s="8">
        <v>388.43900000000002</v>
      </c>
      <c r="H17" s="15"/>
      <c r="I17" s="15"/>
      <c r="J17" s="15"/>
      <c r="K17" s="15"/>
      <c r="L17" s="15"/>
    </row>
    <row r="18" spans="1:12" s="2" customFormat="1" ht="13.7" customHeight="1" x14ac:dyDescent="0.25">
      <c r="A18" s="5" t="s">
        <v>10</v>
      </c>
      <c r="B18" s="5"/>
      <c r="C18" s="5"/>
      <c r="D18" s="5"/>
      <c r="E18" s="8">
        <v>-98.096999999999994</v>
      </c>
      <c r="F18" s="8">
        <v>-110.21599999999999</v>
      </c>
      <c r="G18" s="8">
        <v>-121.71299999999999</v>
      </c>
      <c r="H18" s="15"/>
      <c r="I18" s="15"/>
      <c r="J18" s="15"/>
      <c r="K18" s="15"/>
      <c r="L18" s="15"/>
    </row>
    <row r="19" spans="1:12" s="2" customFormat="1" ht="13.7" customHeight="1" x14ac:dyDescent="0.25">
      <c r="A19" s="5" t="s">
        <v>45</v>
      </c>
      <c r="B19" s="5"/>
      <c r="C19" s="5"/>
      <c r="D19" s="5"/>
      <c r="E19" s="5"/>
      <c r="F19" s="5"/>
      <c r="G19" s="5"/>
      <c r="H19" s="76">
        <v>0.11</v>
      </c>
      <c r="I19" s="76">
        <v>0.16</v>
      </c>
      <c r="J19" s="76">
        <v>0.1</v>
      </c>
      <c r="K19" s="76">
        <v>0.115</v>
      </c>
      <c r="L19" s="76">
        <v>0.12</v>
      </c>
    </row>
    <row r="20" spans="1:12" s="2" customFormat="1" ht="13.7" customHeight="1" x14ac:dyDescent="0.25">
      <c r="A20" s="5" t="s">
        <v>46</v>
      </c>
      <c r="B20" s="5"/>
      <c r="C20" s="5"/>
      <c r="D20" s="5"/>
      <c r="E20" s="5"/>
      <c r="F20" s="5"/>
      <c r="G20" s="5"/>
      <c r="H20" s="76">
        <v>0.09</v>
      </c>
      <c r="I20" s="76">
        <v>9.5000000000000001E-2</v>
      </c>
      <c r="J20" s="76">
        <v>0.1</v>
      </c>
      <c r="K20" s="76">
        <v>0.11</v>
      </c>
      <c r="L20" s="76">
        <v>0.12</v>
      </c>
    </row>
    <row r="21" spans="1:12" s="2" customFormat="1" ht="13.7" customHeight="1" x14ac:dyDescent="0.25">
      <c r="A21" s="5"/>
      <c r="B21" s="5"/>
      <c r="C21" s="5"/>
      <c r="D21" s="5"/>
      <c r="E21" s="5"/>
      <c r="F21" s="5"/>
      <c r="G21" s="5"/>
      <c r="H21" s="15"/>
      <c r="I21" s="15"/>
      <c r="J21" s="15"/>
      <c r="K21" s="15"/>
      <c r="L21" s="15"/>
    </row>
    <row r="22" spans="1:12" s="2" customFormat="1" ht="13.7" customHeight="1" x14ac:dyDescent="0.25"/>
    <row r="23" spans="1:12" s="2" customFormat="1" ht="13.7" customHeight="1" x14ac:dyDescent="0.25"/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>
      <c r="A26" s="16"/>
    </row>
    <row r="27" spans="1:12" s="2" customFormat="1" ht="13.7" customHeight="1" x14ac:dyDescent="0.25">
      <c r="A27" s="16"/>
    </row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79</v>
      </c>
      <c r="B6" s="37"/>
    </row>
    <row r="7" spans="1:12" s="2" customFormat="1" ht="13.7" customHeight="1" x14ac:dyDescent="0.25"/>
    <row r="8" spans="1:12" s="2" customFormat="1" ht="13.7" customHeight="1" x14ac:dyDescent="0.25">
      <c r="A8" s="2" t="s">
        <v>38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3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2" t="s">
        <v>4</v>
      </c>
      <c r="B17" s="5"/>
      <c r="C17" s="5"/>
      <c r="D17" s="5"/>
      <c r="E17" s="5"/>
      <c r="F17" s="5"/>
      <c r="G17" s="5"/>
      <c r="H17" s="13">
        <v>6.5</v>
      </c>
      <c r="I17" s="13">
        <v>6.5</v>
      </c>
      <c r="J17" s="13">
        <v>6.5</v>
      </c>
      <c r="K17" s="13">
        <v>6.5</v>
      </c>
      <c r="L17" s="13">
        <v>6.5</v>
      </c>
    </row>
    <row r="18" spans="1:12" s="2" customFormat="1" ht="13.7" customHeight="1" x14ac:dyDescent="0.25">
      <c r="A18" s="2" t="s">
        <v>81</v>
      </c>
      <c r="B18" s="5"/>
      <c r="C18" s="5"/>
      <c r="D18" s="5"/>
      <c r="E18" s="5"/>
      <c r="F18" s="5"/>
      <c r="G18" s="5"/>
      <c r="H18" s="77">
        <v>0.03</v>
      </c>
      <c r="I18" s="77">
        <v>0.03</v>
      </c>
      <c r="J18" s="77">
        <v>0.03</v>
      </c>
      <c r="K18" s="77">
        <v>0.03</v>
      </c>
      <c r="L18" s="77">
        <v>0.03</v>
      </c>
    </row>
    <row r="19" spans="1:12" s="2" customFormat="1" ht="13.7" customHeight="1" x14ac:dyDescent="0.25">
      <c r="A19" s="62" t="s">
        <v>98</v>
      </c>
      <c r="B19" s="5"/>
      <c r="C19" s="5"/>
      <c r="D19" s="5"/>
      <c r="E19" s="5"/>
      <c r="F19" s="5"/>
      <c r="G19" s="5"/>
      <c r="H19" s="77">
        <v>1.2500000000000001E-2</v>
      </c>
      <c r="I19" s="77">
        <v>1.2500000000000001E-2</v>
      </c>
      <c r="J19" s="77">
        <v>1.2500000000000001E-2</v>
      </c>
      <c r="K19" s="77">
        <v>1.2500000000000001E-2</v>
      </c>
      <c r="L19" s="77">
        <v>1.2500000000000001E-2</v>
      </c>
    </row>
    <row r="20" spans="1:12" s="2" customFormat="1" ht="13.7" customHeight="1" x14ac:dyDescent="0.25">
      <c r="A20" s="62" t="s">
        <v>105</v>
      </c>
      <c r="B20" s="5"/>
      <c r="C20" s="5"/>
      <c r="D20" s="5"/>
      <c r="E20" s="5"/>
      <c r="F20" s="5"/>
      <c r="G20" s="5"/>
      <c r="H20" s="77">
        <v>7.4999999999999997E-2</v>
      </c>
      <c r="I20" s="77">
        <v>7.4999999999999997E-2</v>
      </c>
      <c r="J20" s="77">
        <v>7.4999999999999997E-2</v>
      </c>
      <c r="K20" s="77">
        <v>7.4999999999999997E-2</v>
      </c>
      <c r="L20" s="77">
        <v>7.4999999999999997E-2</v>
      </c>
    </row>
    <row r="21" spans="1:12" s="2" customFormat="1" ht="13.7" customHeight="1" x14ac:dyDescent="0.25">
      <c r="A21" s="63" t="s">
        <v>97</v>
      </c>
      <c r="B21" s="5"/>
      <c r="C21" s="5"/>
      <c r="D21" s="5"/>
      <c r="E21" s="5"/>
      <c r="F21" s="5"/>
      <c r="G21" s="5"/>
      <c r="H21" s="77">
        <v>0.15</v>
      </c>
      <c r="I21" s="77">
        <v>0.15</v>
      </c>
      <c r="J21" s="77">
        <v>0.15</v>
      </c>
      <c r="K21" s="77">
        <v>0.15</v>
      </c>
      <c r="L21" s="77">
        <v>0.15</v>
      </c>
    </row>
    <row r="22" spans="1:12" s="2" customFormat="1" ht="13.7" customHeight="1" x14ac:dyDescent="0.25">
      <c r="A22" s="2" t="s">
        <v>5</v>
      </c>
      <c r="B22" s="5"/>
      <c r="C22" s="5"/>
      <c r="D22" s="5"/>
      <c r="E22" s="11">
        <v>365</v>
      </c>
      <c r="F22" s="11">
        <v>366</v>
      </c>
      <c r="G22" s="11">
        <v>365</v>
      </c>
      <c r="H22" s="57">
        <v>365</v>
      </c>
      <c r="I22" s="11">
        <v>365</v>
      </c>
      <c r="J22" s="11">
        <v>366</v>
      </c>
      <c r="K22" s="11">
        <v>365</v>
      </c>
      <c r="L22" s="11">
        <v>365</v>
      </c>
    </row>
    <row r="23" spans="1:12" s="2" customFormat="1" ht="13.7" customHeight="1" x14ac:dyDescent="0.25">
      <c r="A23" s="5"/>
      <c r="B23" s="5"/>
      <c r="C23" s="5"/>
      <c r="D23" s="5"/>
      <c r="E23" s="5"/>
      <c r="F23" s="5"/>
      <c r="G23" s="5"/>
      <c r="H23" s="15"/>
      <c r="I23" s="15"/>
      <c r="J23" s="15"/>
      <c r="K23" s="15"/>
      <c r="L23" s="15"/>
    </row>
    <row r="24" spans="1:12" s="2" customFormat="1" ht="13.7" customHeight="1" x14ac:dyDescent="0.25">
      <c r="A24" s="5"/>
      <c r="B24" s="5"/>
      <c r="C24" s="5"/>
      <c r="D24" s="5"/>
      <c r="E24" s="5"/>
      <c r="F24" s="5"/>
      <c r="G24" s="5"/>
      <c r="H24" s="15"/>
      <c r="I24" s="15"/>
      <c r="J24" s="15"/>
      <c r="K24" s="15"/>
      <c r="L24" s="15"/>
    </row>
    <row r="25" spans="1:12" s="2" customFormat="1" ht="13.7" customHeight="1" x14ac:dyDescent="0.25">
      <c r="A25" s="5"/>
      <c r="B25" s="5"/>
      <c r="C25" s="5"/>
      <c r="D25" s="5"/>
      <c r="E25" s="5"/>
      <c r="F25" s="5"/>
      <c r="G25" s="5"/>
      <c r="H25" s="15"/>
      <c r="I25" s="15"/>
      <c r="J25" s="15"/>
      <c r="K25" s="15"/>
      <c r="L25" s="15"/>
    </row>
    <row r="26" spans="1:12" s="2" customFormat="1" ht="13.7" customHeight="1" x14ac:dyDescent="0.25">
      <c r="A26" s="5"/>
      <c r="B26" s="5"/>
      <c r="C26" s="5"/>
      <c r="D26" s="5"/>
      <c r="E26" s="5"/>
      <c r="F26" s="5"/>
      <c r="G26" s="5"/>
      <c r="H26" s="15"/>
      <c r="I26" s="15"/>
      <c r="J26" s="15"/>
      <c r="K26" s="15"/>
      <c r="L26" s="15"/>
    </row>
    <row r="27" spans="1:12" s="2" customFormat="1" ht="13.7" customHeight="1" x14ac:dyDescent="0.25"/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>
      <c r="A31" s="16"/>
    </row>
    <row r="32" spans="1:12" s="2" customFormat="1" ht="13.7" customHeight="1" x14ac:dyDescent="0.25">
      <c r="A32" s="16"/>
    </row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s="2" customFormat="1" ht="13.7" customHeight="1" x14ac:dyDescent="0.25"/>
    <row r="47" ht="13.7" customHeight="1" x14ac:dyDescent="0.25"/>
    <row r="48" ht="13.7" customHeight="1" x14ac:dyDescent="0.25"/>
    <row r="49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4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80</v>
      </c>
      <c r="B6" s="37"/>
    </row>
    <row r="7" spans="1:12" s="2" customFormat="1" ht="13.7" customHeight="1" x14ac:dyDescent="0.25"/>
    <row r="8" spans="1:12" s="2" customFormat="1" ht="13.7" customHeight="1" x14ac:dyDescent="0.25">
      <c r="A8" s="63" t="s">
        <v>103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43" t="s">
        <v>47</v>
      </c>
    </row>
    <row r="16" spans="1:12" s="2" customFormat="1" ht="5.0999999999999996" customHeight="1" x14ac:dyDescent="0.25"/>
    <row r="17" spans="1:12" s="2" customFormat="1" ht="13.7" customHeight="1" x14ac:dyDescent="0.25">
      <c r="A17" s="4" t="s">
        <v>118</v>
      </c>
      <c r="E17" s="13">
        <v>17.413</v>
      </c>
      <c r="F17" s="73"/>
      <c r="G17" s="73"/>
      <c r="H17" s="58"/>
      <c r="I17" s="58"/>
      <c r="J17" s="58"/>
      <c r="K17" s="58"/>
      <c r="L17" s="58"/>
    </row>
    <row r="18" spans="1:12" s="2" customFormat="1" ht="13.7" customHeight="1" x14ac:dyDescent="0.25">
      <c r="A18" s="4" t="s">
        <v>93</v>
      </c>
      <c r="E18" s="13">
        <v>-1.281833872707659</v>
      </c>
      <c r="F18" s="13">
        <v>-1.0438757219677355</v>
      </c>
      <c r="G18" s="13">
        <v>-0.7746734160679295</v>
      </c>
      <c r="H18" s="58"/>
      <c r="I18" s="58"/>
      <c r="J18" s="58"/>
      <c r="K18" s="58"/>
      <c r="L18" s="58"/>
    </row>
    <row r="19" spans="1:12" s="2" customFormat="1" ht="13.7" customHeight="1" x14ac:dyDescent="0.25">
      <c r="A19" s="55" t="s">
        <v>131</v>
      </c>
      <c r="E19" s="13">
        <v>6.4556634304207106E-2</v>
      </c>
      <c r="F19" s="13">
        <v>0.12324317864967138</v>
      </c>
      <c r="G19" s="13">
        <v>6.7866753755715228E-2</v>
      </c>
      <c r="H19" s="13">
        <v>0.1</v>
      </c>
      <c r="I19" s="13">
        <v>0.1</v>
      </c>
      <c r="J19" s="13">
        <v>0.1</v>
      </c>
      <c r="K19" s="13">
        <v>0.1</v>
      </c>
      <c r="L19" s="13">
        <v>0.1</v>
      </c>
    </row>
    <row r="20" spans="1:12" s="2" customFormat="1" ht="13.7" customHeight="1" x14ac:dyDescent="0.25">
      <c r="A20" s="4"/>
      <c r="E20" s="8"/>
      <c r="F20" s="8"/>
      <c r="G20" s="75"/>
      <c r="H20" s="8"/>
      <c r="I20" s="8"/>
      <c r="J20" s="8"/>
      <c r="K20" s="8"/>
      <c r="L20" s="8"/>
    </row>
    <row r="21" spans="1:12" s="2" customFormat="1" ht="13.7" customHeight="1" x14ac:dyDescent="0.25">
      <c r="A21" s="4" t="s">
        <v>48</v>
      </c>
      <c r="D21" s="10"/>
      <c r="E21" s="64">
        <v>16.804361380798273</v>
      </c>
      <c r="F21" s="64">
        <v>15.735406489937516</v>
      </c>
      <c r="G21" s="64">
        <v>14.921686887122377</v>
      </c>
      <c r="H21" s="5"/>
      <c r="I21" s="5"/>
      <c r="J21" s="5"/>
      <c r="K21" s="5"/>
      <c r="L21" s="5"/>
    </row>
    <row r="22" spans="1:12" s="2" customFormat="1" ht="13.7" customHeight="1" x14ac:dyDescent="0.25">
      <c r="A22" s="4"/>
      <c r="E22" s="5"/>
      <c r="F22" s="8"/>
      <c r="G22" s="8"/>
      <c r="H22" s="8"/>
      <c r="I22" s="5"/>
      <c r="J22" s="5"/>
      <c r="K22" s="5"/>
      <c r="L22" s="5"/>
    </row>
    <row r="23" spans="1:12" s="2" customFormat="1" ht="13.7" customHeight="1" x14ac:dyDescent="0.25">
      <c r="A23" s="44" t="s">
        <v>70</v>
      </c>
      <c r="E23" s="5"/>
      <c r="F23" s="8"/>
      <c r="G23" s="8"/>
      <c r="H23" s="8"/>
      <c r="I23" s="5"/>
      <c r="J23" s="5"/>
      <c r="K23" s="5"/>
      <c r="L23" s="5"/>
    </row>
    <row r="24" spans="1:12" s="2" customFormat="1" ht="5.0999999999999996" customHeight="1" x14ac:dyDescent="0.25">
      <c r="A24" s="4"/>
      <c r="E24" s="5"/>
      <c r="F24" s="8"/>
      <c r="G24" s="8"/>
      <c r="H24" s="8"/>
      <c r="I24" s="5"/>
      <c r="J24" s="5"/>
      <c r="K24" s="5"/>
      <c r="L24" s="5"/>
    </row>
    <row r="25" spans="1:12" s="2" customFormat="1" ht="13.7" customHeight="1" x14ac:dyDescent="0.25">
      <c r="A25" s="4" t="s">
        <v>119</v>
      </c>
      <c r="E25" s="9">
        <v>59.412999999999997</v>
      </c>
      <c r="F25" s="9">
        <v>52.412999999999997</v>
      </c>
      <c r="G25" s="9">
        <v>47.441000000000003</v>
      </c>
      <c r="H25" s="9">
        <v>30</v>
      </c>
      <c r="I25" s="9">
        <v>30</v>
      </c>
      <c r="J25" s="9">
        <v>30</v>
      </c>
      <c r="K25" s="9">
        <v>30</v>
      </c>
      <c r="L25" s="9">
        <v>30</v>
      </c>
    </row>
    <row r="26" spans="1:12" s="2" customFormat="1" ht="13.7" customHeight="1" x14ac:dyDescent="0.25">
      <c r="A26" s="5" t="s">
        <v>88</v>
      </c>
      <c r="B26" s="5"/>
      <c r="C26" s="5"/>
      <c r="D26" s="5"/>
      <c r="G26" s="7"/>
      <c r="H26" s="78">
        <v>11</v>
      </c>
      <c r="I26" s="78">
        <v>11</v>
      </c>
      <c r="J26" s="78">
        <v>11</v>
      </c>
      <c r="K26" s="78">
        <v>11</v>
      </c>
      <c r="L26" s="78">
        <v>11</v>
      </c>
    </row>
    <row r="27" spans="1:12" s="2" customFormat="1" ht="13.7" customHeight="1" x14ac:dyDescent="0.25">
      <c r="A27" s="5"/>
      <c r="B27" s="5"/>
      <c r="C27" s="5"/>
      <c r="D27" s="5"/>
      <c r="G27" s="7"/>
      <c r="H27" s="7"/>
      <c r="I27" s="7"/>
      <c r="J27" s="7"/>
      <c r="K27" s="7"/>
      <c r="L27" s="7"/>
    </row>
    <row r="28" spans="1:12" s="2" customFormat="1" ht="13.7" customHeight="1" x14ac:dyDescent="0.25">
      <c r="A28" s="44" t="s">
        <v>71</v>
      </c>
      <c r="F28" s="11"/>
      <c r="G28" s="11"/>
      <c r="H28" s="11"/>
    </row>
    <row r="29" spans="1:12" s="2" customFormat="1" ht="5.0999999999999996" customHeight="1" x14ac:dyDescent="0.25">
      <c r="A29" s="4"/>
      <c r="F29" s="11"/>
      <c r="G29" s="11"/>
      <c r="H29" s="11"/>
    </row>
    <row r="30" spans="1:12" s="2" customFormat="1" ht="13.7" customHeight="1" x14ac:dyDescent="0.25">
      <c r="A30" s="5" t="s">
        <v>49</v>
      </c>
      <c r="B30" s="5"/>
      <c r="C30" s="5"/>
      <c r="D30" s="5"/>
      <c r="G30" s="45"/>
      <c r="H30" s="45">
        <v>3.1</v>
      </c>
      <c r="I30" s="45">
        <v>3.15</v>
      </c>
      <c r="J30" s="45">
        <v>3.2</v>
      </c>
      <c r="K30" s="45">
        <v>3.3</v>
      </c>
      <c r="L30" s="45">
        <v>3.4</v>
      </c>
    </row>
    <row r="31" spans="1:12" s="2" customFormat="1" ht="13.7" customHeight="1" x14ac:dyDescent="0.25">
      <c r="A31" s="4" t="s">
        <v>120</v>
      </c>
      <c r="E31" s="9">
        <v>43.707299999999996</v>
      </c>
      <c r="F31" s="9">
        <v>44.478000000000002</v>
      </c>
      <c r="G31" s="9">
        <v>44.879799999999996</v>
      </c>
      <c r="H31" s="68"/>
      <c r="I31" s="68"/>
      <c r="J31" s="68"/>
      <c r="K31" s="68"/>
      <c r="L31" s="68"/>
    </row>
    <row r="32" spans="1:12" s="2" customFormat="1" ht="13.7" customHeight="1" x14ac:dyDescent="0.25"/>
    <row r="33" spans="4:5" s="2" customFormat="1" ht="13.7" customHeight="1" x14ac:dyDescent="0.25"/>
    <row r="34" spans="4:5" s="2" customFormat="1" ht="13.7" customHeight="1" x14ac:dyDescent="0.25"/>
    <row r="35" spans="4:5" s="2" customFormat="1" ht="13.7" customHeight="1" x14ac:dyDescent="0.25">
      <c r="D35" s="54"/>
      <c r="E35" s="54"/>
    </row>
    <row r="36" spans="4:5" s="2" customFormat="1" ht="13.7" customHeight="1" x14ac:dyDescent="0.25">
      <c r="D36" s="54"/>
      <c r="E36" s="10"/>
    </row>
    <row r="37" spans="4:5" s="2" customFormat="1" ht="13.7" customHeight="1" x14ac:dyDescent="0.25">
      <c r="D37" s="54"/>
    </row>
    <row r="38" spans="4:5" s="2" customFormat="1" ht="13.7" customHeight="1" x14ac:dyDescent="0.25"/>
    <row r="39" spans="4:5" s="2" customFormat="1" ht="13.7" customHeight="1" x14ac:dyDescent="0.25">
      <c r="D39" s="54"/>
    </row>
    <row r="40" spans="4:5" s="2" customFormat="1" ht="13.7" customHeight="1" x14ac:dyDescent="0.25"/>
    <row r="41" spans="4:5" s="2" customFormat="1" ht="13.7" customHeight="1" x14ac:dyDescent="0.25"/>
    <row r="42" spans="4:5" ht="13.7" customHeight="1" x14ac:dyDescent="0.25"/>
    <row r="43" spans="4:5" ht="13.7" customHeight="1" x14ac:dyDescent="0.25"/>
    <row r="44" spans="4:5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9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86</v>
      </c>
      <c r="B6" s="37"/>
    </row>
    <row r="7" spans="1:12" s="2" customFormat="1" ht="13.7" customHeight="1" x14ac:dyDescent="0.25"/>
    <row r="8" spans="1:12" s="2" customFormat="1" ht="13.7" customHeight="1" x14ac:dyDescent="0.25">
      <c r="A8" s="63" t="s">
        <v>104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67" t="s">
        <v>99</v>
      </c>
      <c r="F14" s="67" t="s">
        <v>113</v>
      </c>
      <c r="G14" s="67" t="s">
        <v>129</v>
      </c>
      <c r="H14" s="67" t="s">
        <v>82</v>
      </c>
      <c r="I14" s="67" t="s">
        <v>83</v>
      </c>
      <c r="J14" s="67" t="s">
        <v>100</v>
      </c>
      <c r="K14" s="67" t="s">
        <v>114</v>
      </c>
      <c r="L14" s="67" t="s">
        <v>130</v>
      </c>
    </row>
    <row r="15" spans="1:12" s="2" customFormat="1" ht="13.7" customHeight="1" x14ac:dyDescent="0.25">
      <c r="A15" s="6" t="s">
        <v>39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55" t="s">
        <v>132</v>
      </c>
      <c r="G17" s="12">
        <v>0</v>
      </c>
      <c r="J17" s="11"/>
    </row>
    <row r="18" spans="1:12" s="2" customFormat="1" ht="13.7" customHeight="1" x14ac:dyDescent="0.25">
      <c r="A18" s="55" t="s">
        <v>133</v>
      </c>
      <c r="G18" s="11">
        <v>763.94200000000001</v>
      </c>
      <c r="J18" s="11"/>
    </row>
    <row r="19" spans="1:12" s="2" customFormat="1" ht="13.7" customHeight="1" x14ac:dyDescent="0.25">
      <c r="A19" s="52"/>
      <c r="G19" s="11"/>
      <c r="H19" s="53"/>
      <c r="I19" s="35"/>
      <c r="J19" s="11"/>
    </row>
    <row r="20" spans="1:12" s="2" customFormat="1" ht="13.7" customHeight="1" x14ac:dyDescent="0.25">
      <c r="A20" s="59" t="s">
        <v>107</v>
      </c>
      <c r="B20" s="59"/>
      <c r="C20" s="59"/>
      <c r="D20" s="59"/>
      <c r="E20" s="59"/>
      <c r="F20" s="59"/>
      <c r="G20" s="59"/>
      <c r="H20" s="57">
        <v>-20</v>
      </c>
      <c r="I20" s="57">
        <v>-20</v>
      </c>
      <c r="J20" s="57">
        <v>-200</v>
      </c>
      <c r="K20" s="57">
        <v>-20</v>
      </c>
      <c r="L20" s="57">
        <v>-20</v>
      </c>
    </row>
    <row r="21" spans="1:12" s="2" customFormat="1" ht="13.7" customHeight="1" x14ac:dyDescent="0.25">
      <c r="A21" s="5" t="s">
        <v>6</v>
      </c>
      <c r="B21" s="5"/>
      <c r="C21" s="5"/>
      <c r="D21" s="5"/>
      <c r="E21" s="5"/>
      <c r="F21" s="5"/>
      <c r="G21" s="5"/>
      <c r="H21" s="79">
        <v>-25</v>
      </c>
      <c r="I21" s="79">
        <v>-25</v>
      </c>
      <c r="J21" s="79">
        <v>-25</v>
      </c>
      <c r="K21" s="79">
        <v>-25</v>
      </c>
      <c r="L21" s="79">
        <v>-25</v>
      </c>
    </row>
    <row r="22" spans="1:12" s="2" customFormat="1" ht="13.7" customHeight="1" x14ac:dyDescent="0.25">
      <c r="A22" s="5"/>
      <c r="B22" s="5"/>
      <c r="C22" s="5"/>
      <c r="D22" s="5"/>
      <c r="E22" s="5"/>
      <c r="F22" s="5"/>
      <c r="G22" s="5"/>
      <c r="H22" s="14"/>
      <c r="I22" s="14"/>
      <c r="J22" s="14"/>
      <c r="K22" s="14"/>
      <c r="L22" s="14"/>
    </row>
    <row r="23" spans="1:12" ht="13.7" customHeight="1" x14ac:dyDescent="0.25">
      <c r="A23" s="5" t="s">
        <v>112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/>
    <row r="27" spans="1:12" s="2" customFormat="1" ht="13.7" customHeight="1" x14ac:dyDescent="0.25"/>
    <row r="28" spans="1:12" s="2" customFormat="1" ht="13.7" customHeight="1" x14ac:dyDescent="0.25">
      <c r="A28" s="5"/>
      <c r="B28" s="5"/>
      <c r="C28" s="5"/>
      <c r="D28" s="5"/>
      <c r="E28" s="5"/>
      <c r="F28" s="5"/>
      <c r="G28" s="5"/>
      <c r="H28" s="14"/>
      <c r="I28" s="14"/>
      <c r="J28" s="14"/>
      <c r="K28" s="14"/>
      <c r="L28" s="14"/>
    </row>
    <row r="29" spans="1:12" s="2" customFormat="1" ht="13.7" customHeight="1" x14ac:dyDescent="0.25">
      <c r="A29" s="5"/>
      <c r="B29" s="5"/>
      <c r="C29" s="5"/>
      <c r="D29" s="5"/>
      <c r="E29" s="5"/>
      <c r="F29" s="5"/>
      <c r="G29" s="5"/>
      <c r="H29" s="14"/>
      <c r="I29" s="14"/>
      <c r="J29" s="14"/>
      <c r="K29" s="14"/>
      <c r="L29" s="14"/>
    </row>
    <row r="30" spans="1:12" s="2" customFormat="1" ht="13.7" customHeight="1" x14ac:dyDescent="0.25">
      <c r="A30" s="5"/>
      <c r="B30" s="5"/>
      <c r="C30" s="5"/>
      <c r="D30" s="5"/>
      <c r="E30" s="5"/>
      <c r="F30" s="5"/>
      <c r="G30" s="5"/>
      <c r="H30" s="14"/>
      <c r="I30" s="14"/>
      <c r="J30" s="14"/>
      <c r="K30" s="14"/>
      <c r="L30" s="14"/>
    </row>
    <row r="31" spans="1:12" s="2" customFormat="1" ht="13.7" customHeight="1" x14ac:dyDescent="0.25">
      <c r="A31" s="5"/>
      <c r="B31" s="5"/>
      <c r="C31" s="5"/>
      <c r="D31" s="5"/>
      <c r="E31" s="5"/>
      <c r="F31" s="5"/>
      <c r="G31" s="5"/>
      <c r="H31" s="14"/>
      <c r="I31" s="14"/>
      <c r="J31" s="14"/>
      <c r="K31" s="14"/>
      <c r="L31" s="14"/>
    </row>
    <row r="32" spans="1:12" s="2" customFormat="1" ht="13.7" customHeight="1" x14ac:dyDescent="0.25">
      <c r="A32" s="5"/>
      <c r="B32" s="5"/>
      <c r="C32" s="5"/>
      <c r="D32" s="5"/>
      <c r="E32" s="5"/>
      <c r="F32" s="5"/>
      <c r="G32" s="5"/>
      <c r="H32" s="14"/>
      <c r="I32" s="14"/>
      <c r="J32" s="14"/>
      <c r="K32" s="14"/>
      <c r="L32" s="14"/>
    </row>
    <row r="33" spans="1:1" s="2" customFormat="1" ht="13.7" customHeight="1" x14ac:dyDescent="0.25"/>
    <row r="34" spans="1:1" ht="13.7" customHeight="1" x14ac:dyDescent="0.25"/>
    <row r="35" spans="1:1" ht="13.7" customHeight="1" x14ac:dyDescent="0.25"/>
    <row r="36" spans="1:1" ht="13.7" customHeight="1" x14ac:dyDescent="0.25"/>
    <row r="37" spans="1:1" ht="13.7" customHeight="1" x14ac:dyDescent="0.25">
      <c r="A37" s="27"/>
    </row>
    <row r="38" spans="1:1" ht="13.7" customHeight="1" x14ac:dyDescent="0.25">
      <c r="A38" s="27"/>
    </row>
    <row r="39" spans="1:1" ht="13.7" customHeight="1" x14ac:dyDescent="0.25"/>
    <row r="40" spans="1:1" ht="13.7" customHeight="1" x14ac:dyDescent="0.25"/>
    <row r="41" spans="1:1" ht="13.7" customHeight="1" x14ac:dyDescent="0.25"/>
    <row r="42" spans="1:1" ht="13.7" customHeight="1" x14ac:dyDescent="0.25"/>
    <row r="43" spans="1:1" ht="13.7" customHeight="1" x14ac:dyDescent="0.25"/>
    <row r="44" spans="1:1" ht="13.7" customHeight="1" x14ac:dyDescent="0.25"/>
    <row r="45" spans="1:1" ht="13.7" customHeight="1" x14ac:dyDescent="0.25"/>
    <row r="46" spans="1:1" ht="13.7" customHeight="1" x14ac:dyDescent="0.25"/>
    <row r="47" spans="1:1" ht="13.7" customHeight="1" x14ac:dyDescent="0.25"/>
    <row r="48" spans="1:1" ht="13.7" customHeight="1" x14ac:dyDescent="0.25"/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  <row r="59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0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73</v>
      </c>
    </row>
    <row r="2" spans="1:12" s="2" customFormat="1" ht="15.95" customHeight="1" thickBot="1" x14ac:dyDescent="0.3">
      <c r="A2" s="24" t="s">
        <v>37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85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7" t="s">
        <v>41</v>
      </c>
      <c r="C6" s="37"/>
    </row>
    <row r="7" spans="1:12" s="2" customFormat="1" ht="13.7" customHeight="1" x14ac:dyDescent="0.25"/>
    <row r="8" spans="1:12" s="2" customFormat="1" ht="13.7" customHeight="1" x14ac:dyDescent="0.25">
      <c r="A8" s="2" t="s">
        <v>40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39" t="s">
        <v>94</v>
      </c>
      <c r="F13" s="39"/>
      <c r="G13" s="39"/>
      <c r="H13" s="39"/>
      <c r="I13" s="40"/>
      <c r="J13" s="40"/>
      <c r="K13" s="40"/>
      <c r="L13" s="40"/>
    </row>
    <row r="14" spans="1:12" s="2" customFormat="1" ht="13.7" customHeight="1" x14ac:dyDescent="0.25">
      <c r="A14" s="5"/>
      <c r="B14" s="5"/>
      <c r="C14" s="5"/>
      <c r="D14" s="5"/>
      <c r="E14" s="41" t="s">
        <v>99</v>
      </c>
      <c r="F14" s="41" t="s">
        <v>113</v>
      </c>
      <c r="G14" s="41" t="s">
        <v>129</v>
      </c>
      <c r="H14" s="41" t="s">
        <v>82</v>
      </c>
      <c r="I14" s="41" t="s">
        <v>83</v>
      </c>
      <c r="J14" s="41" t="s">
        <v>100</v>
      </c>
      <c r="K14" s="41" t="s">
        <v>114</v>
      </c>
      <c r="L14" s="41" t="s">
        <v>130</v>
      </c>
    </row>
    <row r="15" spans="1:12" s="2" customFormat="1" ht="13.7" customHeight="1" x14ac:dyDescent="0.25">
      <c r="A15" s="6" t="s">
        <v>7</v>
      </c>
      <c r="B15" s="5"/>
      <c r="C15" s="5"/>
      <c r="D15" s="5"/>
      <c r="E15" s="5"/>
      <c r="F15" s="5"/>
      <c r="G15" s="5"/>
      <c r="H15" s="14"/>
      <c r="I15" s="14"/>
      <c r="J15" s="14"/>
      <c r="K15" s="14"/>
      <c r="L15" s="14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4"/>
      <c r="I16" s="14"/>
      <c r="J16" s="14"/>
      <c r="K16" s="14"/>
      <c r="L16" s="14"/>
    </row>
    <row r="17" spans="1:12" s="2" customFormat="1" ht="13.7" customHeight="1" x14ac:dyDescent="0.25">
      <c r="A17" s="52" t="s">
        <v>89</v>
      </c>
      <c r="B17" s="5"/>
      <c r="C17" s="5"/>
      <c r="D17" s="5"/>
      <c r="E17" s="5"/>
      <c r="F17" s="5"/>
      <c r="G17" s="5"/>
      <c r="H17" s="56">
        <v>0.03</v>
      </c>
      <c r="I17" s="56">
        <v>0.03</v>
      </c>
      <c r="J17" s="56">
        <v>0.03</v>
      </c>
      <c r="K17" s="56">
        <v>0.03</v>
      </c>
      <c r="L17" s="56">
        <v>0.03</v>
      </c>
    </row>
    <row r="18" spans="1:12" s="2" customFormat="1" ht="13.7" customHeight="1" x14ac:dyDescent="0.25">
      <c r="A18" s="55" t="s">
        <v>90</v>
      </c>
      <c r="H18" s="56">
        <v>3.5000000000000003E-2</v>
      </c>
      <c r="I18" s="56">
        <v>3.5000000000000003E-2</v>
      </c>
      <c r="J18" s="56">
        <v>3.5000000000000003E-2</v>
      </c>
      <c r="K18" s="56">
        <v>3.5000000000000003E-2</v>
      </c>
      <c r="L18" s="56">
        <v>3.5000000000000003E-2</v>
      </c>
    </row>
    <row r="19" spans="1:12" s="2" customFormat="1" ht="13.7" customHeight="1" x14ac:dyDescent="0.25">
      <c r="A19" s="52"/>
      <c r="H19" s="7"/>
      <c r="I19" s="7"/>
      <c r="J19" s="7"/>
      <c r="K19" s="7"/>
      <c r="L19" s="7"/>
    </row>
    <row r="20" spans="1:12" s="2" customFormat="1" ht="13.7" customHeight="1" x14ac:dyDescent="0.25">
      <c r="A20" s="52"/>
      <c r="H20" s="7"/>
      <c r="I20" s="7"/>
      <c r="J20" s="7"/>
      <c r="K20" s="7"/>
      <c r="L20" s="7"/>
    </row>
    <row r="21" spans="1:12" s="2" customFormat="1" ht="13.7" customHeight="1" x14ac:dyDescent="0.25">
      <c r="A21" s="6" t="s">
        <v>7</v>
      </c>
      <c r="H21" s="7"/>
      <c r="I21" s="7"/>
      <c r="J21" s="7"/>
      <c r="K21" s="7"/>
      <c r="L21" s="7"/>
    </row>
    <row r="22" spans="1:12" s="2" customFormat="1" ht="5.0999999999999996" customHeight="1" x14ac:dyDescent="0.25">
      <c r="A22" s="4"/>
      <c r="H22" s="7"/>
      <c r="I22" s="7"/>
      <c r="J22" s="7"/>
      <c r="K22" s="7"/>
      <c r="L22" s="7"/>
    </row>
    <row r="23" spans="1:12" s="2" customFormat="1" ht="13.7" customHeight="1" x14ac:dyDescent="0.25">
      <c r="A23" s="59" t="s">
        <v>127</v>
      </c>
      <c r="H23" s="77">
        <v>0.03</v>
      </c>
      <c r="I23" s="77">
        <v>0.03</v>
      </c>
      <c r="J23" s="77">
        <v>0.03</v>
      </c>
      <c r="K23" s="77">
        <v>0.03</v>
      </c>
      <c r="L23" s="77">
        <v>0.03</v>
      </c>
    </row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/>
    <row r="27" spans="1:12" s="2" customFormat="1" ht="13.7" customHeight="1" x14ac:dyDescent="0.25"/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ht="13.7" customHeight="1" x14ac:dyDescent="0.25"/>
    <row r="39" ht="13.7" customHeight="1" x14ac:dyDescent="0.25"/>
    <row r="40" ht="13.7" customHeight="1" x14ac:dyDescent="0.25"/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Terms of Use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lastPrinted>2019-04-12T14:33:15Z</cp:lastPrinted>
  <dcterms:created xsi:type="dcterms:W3CDTF">2013-05-29T00:28:34Z</dcterms:created>
  <dcterms:modified xsi:type="dcterms:W3CDTF">2019-04-23T18:52:32Z</dcterms:modified>
</cp:coreProperties>
</file>