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DA793B52-6062-47E9-A170-82A52619DB27}" xr6:coauthVersionLast="47" xr6:coauthVersionMax="47" xr10:uidLastSave="{00000000-0000-0000-0000-000000000000}"/>
  <bookViews>
    <workbookView xWindow="-108" yWindow="-108" windowWidth="23256" windowHeight="12456" tabRatio="832" activeTab="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2" l="1"/>
  <c r="I13" i="2"/>
  <c r="J13" i="2"/>
  <c r="K13" i="2"/>
  <c r="L13" i="2"/>
  <c r="H17" i="2"/>
  <c r="I17" i="2"/>
  <c r="J17" i="2"/>
  <c r="K17" i="2"/>
  <c r="L17" i="2"/>
  <c r="H22" i="2"/>
  <c r="I22" i="2"/>
  <c r="J22" i="2"/>
  <c r="K22" i="2"/>
  <c r="L22" i="2"/>
  <c r="H26" i="2"/>
  <c r="I26" i="2"/>
  <c r="J26" i="2"/>
  <c r="K26" i="2"/>
  <c r="L26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F35" i="2"/>
  <c r="G35" i="2"/>
  <c r="F36" i="2"/>
  <c r="G36" i="2"/>
  <c r="F37" i="2"/>
  <c r="G37" i="2"/>
  <c r="E37" i="2"/>
  <c r="E36" i="2"/>
  <c r="E22" i="2"/>
  <c r="E35" i="2"/>
  <c r="F34" i="2"/>
  <c r="G34" i="2"/>
  <c r="E34" i="2"/>
  <c r="F31" i="4"/>
  <c r="G31" i="4"/>
  <c r="F13" i="2"/>
  <c r="F17" i="2"/>
  <c r="F22" i="2"/>
  <c r="F26" i="2"/>
  <c r="F29" i="2"/>
  <c r="F31" i="2"/>
  <c r="G13" i="2"/>
  <c r="G17" i="2"/>
  <c r="G22" i="2"/>
  <c r="G26" i="2"/>
  <c r="G29" i="2"/>
  <c r="G31" i="2"/>
  <c r="E31" i="4"/>
  <c r="E13" i="2"/>
  <c r="E17" i="2"/>
  <c r="E26" i="2"/>
  <c r="E29" i="2"/>
  <c r="E31" i="2"/>
  <c r="F29" i="4"/>
  <c r="G29" i="4"/>
  <c r="E29" i="4"/>
  <c r="F26" i="4"/>
  <c r="G26" i="4"/>
  <c r="E26" i="4"/>
  <c r="F22" i="4"/>
  <c r="G22" i="4"/>
  <c r="E22" i="4"/>
  <c r="F17" i="4"/>
  <c r="G17" i="4"/>
  <c r="E17" i="4"/>
  <c r="F13" i="4"/>
  <c r="G13" i="4"/>
  <c r="E13" i="4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<sst xmlns="http://schemas.openxmlformats.org/spreadsheetml/2006/main" count="711" uniqueCount="427">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</sst>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0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10" sqref="H10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4">
        <v>1253.0039999999999</v>
      </c>
      <c r="F10" s="284">
        <v>1341.587</v>
      </c>
      <c r="G10" s="284">
        <v>1419.385</v>
      </c>
      <c r="H10" s="300">
        <f>G10*(1+H11)</f>
        <v>1525.8388749999999</v>
      </c>
      <c r="I10" s="300">
        <f t="shared" ref="I10:L10" si="0">H10*(1+I11)</f>
        <v>1617.3892074999999</v>
      </c>
      <c r="J10" s="300">
        <f t="shared" si="0"/>
        <v>1698.2586678749999</v>
      </c>
      <c r="K10" s="300">
        <f t="shared" si="0"/>
        <v>1757.6977212506247</v>
      </c>
      <c r="L10" s="300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90">
        <f>F10/E10-1</f>
        <v>7.0696502165994657E-2</v>
      </c>
      <c r="G11" s="290">
        <f>G10/F10-1</f>
        <v>5.7989530309998427E-2</v>
      </c>
      <c r="H11" s="297">
        <v>7.4999999999999997E-2</v>
      </c>
      <c r="I11" s="297">
        <v>0.06</v>
      </c>
      <c r="J11" s="297">
        <v>0.05</v>
      </c>
      <c r="K11" s="297">
        <v>3.5000000000000003E-2</v>
      </c>
      <c r="L11" s="297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6">
        <v>1128.644</v>
      </c>
      <c r="F13" s="286">
        <v>1218.02</v>
      </c>
      <c r="G13" s="286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1">
        <f>E10-E13</f>
        <v>124.3599999999999</v>
      </c>
      <c r="F14" s="291">
        <f t="shared" ref="F14:G14" si="2">F10-F13</f>
        <v>123.56700000000001</v>
      </c>
      <c r="G14" s="291">
        <f t="shared" si="2"/>
        <v>128.96000000000004</v>
      </c>
      <c r="H14" s="295">
        <f>H15*H10</f>
        <v>146.48053199999998</v>
      </c>
      <c r="I14" s="295">
        <f t="shared" ref="I14:L14" si="3">I15*I10</f>
        <v>153.65197471249999</v>
      </c>
      <c r="J14" s="295">
        <f t="shared" si="3"/>
        <v>164.731090783875</v>
      </c>
      <c r="K14" s="295">
        <f t="shared" si="3"/>
        <v>172.25437668256123</v>
      </c>
      <c r="L14" s="295">
        <f t="shared" si="3"/>
        <v>179.23243663592621</v>
      </c>
      <c r="M14" s="117"/>
      <c r="N14" s="281" t="s">
        <v>358</v>
      </c>
      <c r="O14" s="109"/>
      <c r="P14" s="109"/>
    </row>
    <row r="15" spans="1:16" ht="12.75" customHeight="1" x14ac:dyDescent="0.3">
      <c r="A15" s="285" t="s">
        <v>317</v>
      </c>
      <c r="B15" s="281"/>
      <c r="C15" s="281"/>
      <c r="D15" s="281"/>
      <c r="E15" s="293">
        <f>E14/E10</f>
        <v>9.9249483640914085E-2</v>
      </c>
      <c r="F15" s="293">
        <f t="shared" ref="F15:G15" si="4">F14/F10</f>
        <v>9.2105096426843738E-2</v>
      </c>
      <c r="G15" s="293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1"/>
      <c r="N15" s="281"/>
      <c r="O15" s="109"/>
      <c r="P15" s="109"/>
    </row>
    <row r="16" spans="1:16" ht="12.75" customHeight="1" x14ac:dyDescent="0.3">
      <c r="A16" s="280"/>
      <c r="B16" s="281"/>
      <c r="C16" s="281"/>
      <c r="D16" s="281"/>
      <c r="E16" s="282"/>
      <c r="F16" s="282"/>
      <c r="G16" s="282"/>
      <c r="H16" s="282"/>
      <c r="I16" s="282"/>
      <c r="J16" s="282"/>
      <c r="K16" s="282"/>
      <c r="L16" s="282"/>
      <c r="M16" s="281"/>
      <c r="N16" s="281"/>
      <c r="O16" s="120"/>
      <c r="P16" s="120"/>
    </row>
    <row r="17" spans="1:16" ht="12.75" customHeight="1" x14ac:dyDescent="0.3">
      <c r="A17" s="280" t="s">
        <v>13</v>
      </c>
      <c r="B17" s="281"/>
      <c r="C17" s="281"/>
      <c r="D17" s="281"/>
      <c r="E17" s="284">
        <v>19.674074549237169</v>
      </c>
      <c r="F17" s="284">
        <v>22.466661588302248</v>
      </c>
      <c r="G17" s="284">
        <v>24.00492879078525</v>
      </c>
      <c r="H17" s="301"/>
      <c r="I17" s="301"/>
      <c r="J17" s="301"/>
      <c r="K17" s="301"/>
      <c r="L17" s="301"/>
      <c r="M17" s="281"/>
      <c r="N17" s="281" t="s">
        <v>14</v>
      </c>
      <c r="O17" s="109"/>
      <c r="P17" s="109"/>
    </row>
    <row r="18" spans="1:16" ht="12.75" customHeight="1" x14ac:dyDescent="0.3">
      <c r="A18" s="280" t="s">
        <v>375</v>
      </c>
      <c r="B18" s="281"/>
      <c r="C18" s="281"/>
      <c r="D18" s="281"/>
      <c r="E18" s="286">
        <v>-9.0304860000000016</v>
      </c>
      <c r="F18" s="286">
        <v>-8.9065680000000018</v>
      </c>
      <c r="G18" s="286">
        <v>-6.9860319999999998</v>
      </c>
      <c r="H18" s="301"/>
      <c r="I18" s="301"/>
      <c r="J18" s="301"/>
      <c r="K18" s="301"/>
      <c r="L18" s="301"/>
      <c r="M18" s="281"/>
      <c r="N18" s="281" t="s">
        <v>422</v>
      </c>
      <c r="O18" s="109"/>
      <c r="P18" s="109"/>
    </row>
    <row r="19" spans="1:16" ht="12.75" customHeight="1" x14ac:dyDescent="0.3">
      <c r="A19" s="280" t="s">
        <v>319</v>
      </c>
      <c r="B19" s="281"/>
      <c r="C19" s="281"/>
      <c r="D19" s="281"/>
      <c r="E19" s="286">
        <v>-7.4999999999999997E-2</v>
      </c>
      <c r="F19" s="286">
        <v>-1.226</v>
      </c>
      <c r="G19" s="286">
        <v>-1.5589999999999999</v>
      </c>
      <c r="H19" s="298">
        <v>-4</v>
      </c>
      <c r="I19" s="298">
        <v>-6</v>
      </c>
      <c r="J19" s="298">
        <v>-7</v>
      </c>
      <c r="K19" s="298">
        <v>-9</v>
      </c>
      <c r="L19" s="298">
        <v>-11</v>
      </c>
      <c r="M19" s="281"/>
      <c r="N19" s="281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4">
        <f>SUM(E17:E19)</f>
        <v>10.568588549237168</v>
      </c>
      <c r="F20" s="294">
        <f t="shared" ref="F20:G20" si="5">SUM(F17:F19)</f>
        <v>12.334093588302245</v>
      </c>
      <c r="G20" s="294">
        <f t="shared" si="5"/>
        <v>15.459896790785249</v>
      </c>
      <c r="H20" s="294">
        <f t="shared" ref="H20" si="6">SUM(H17:H19)</f>
        <v>-4</v>
      </c>
      <c r="I20" s="294">
        <f t="shared" ref="I20" si="7">SUM(I17:I19)</f>
        <v>-6</v>
      </c>
      <c r="J20" s="294">
        <f t="shared" ref="J20" si="8">SUM(J17:J19)</f>
        <v>-7</v>
      </c>
      <c r="K20" s="294">
        <f t="shared" ref="K20" si="9">SUM(K17:K19)</f>
        <v>-9</v>
      </c>
      <c r="L20" s="294">
        <f t="shared" ref="L20" si="10">SUM(L17:L19)</f>
        <v>-11</v>
      </c>
      <c r="M20" s="117"/>
      <c r="N20" s="281"/>
      <c r="O20" s="109"/>
      <c r="P20" s="109"/>
    </row>
    <row r="21" spans="1:16" ht="12.75" customHeight="1" x14ac:dyDescent="0.3">
      <c r="A21" s="280"/>
      <c r="B21" s="281"/>
      <c r="C21" s="281"/>
      <c r="D21" s="281"/>
      <c r="E21" s="282"/>
      <c r="F21" s="282"/>
      <c r="G21" s="282"/>
      <c r="H21" s="282"/>
      <c r="I21" s="282"/>
      <c r="J21" s="282"/>
      <c r="K21" s="282"/>
      <c r="L21" s="282"/>
      <c r="M21" s="281"/>
      <c r="N21" s="281"/>
      <c r="O21" s="109"/>
      <c r="P21" s="109"/>
    </row>
    <row r="22" spans="1:16" ht="12.75" customHeight="1" x14ac:dyDescent="0.3">
      <c r="A22" s="283" t="s">
        <v>16</v>
      </c>
      <c r="B22" s="283"/>
      <c r="C22" s="281"/>
      <c r="D22" s="281"/>
      <c r="E22" s="292">
        <f>E14-E20</f>
        <v>113.79141145076274</v>
      </c>
      <c r="F22" s="292">
        <f t="shared" ref="F22:G22" si="11">F14-F20</f>
        <v>111.23290641169777</v>
      </c>
      <c r="G22" s="292">
        <f t="shared" si="11"/>
        <v>113.50010320921479</v>
      </c>
      <c r="H22" s="292">
        <f t="shared" ref="H22:L22" si="12">H14-H20</f>
        <v>150.48053199999998</v>
      </c>
      <c r="I22" s="292">
        <f t="shared" si="12"/>
        <v>159.65197471249999</v>
      </c>
      <c r="J22" s="292">
        <f t="shared" si="12"/>
        <v>171.731090783875</v>
      </c>
      <c r="K22" s="292">
        <f t="shared" si="12"/>
        <v>181.25437668256123</v>
      </c>
      <c r="L22" s="292">
        <f t="shared" si="12"/>
        <v>190.23243663592621</v>
      </c>
      <c r="M22" s="281"/>
      <c r="N22" s="281" t="s">
        <v>17</v>
      </c>
      <c r="O22" s="109"/>
      <c r="P22" s="109"/>
    </row>
    <row r="23" spans="1:16" ht="12.75" customHeight="1" x14ac:dyDescent="0.3">
      <c r="A23" s="280"/>
      <c r="B23" s="281"/>
      <c r="C23" s="281"/>
      <c r="D23" s="281"/>
      <c r="E23" s="282"/>
      <c r="F23" s="282"/>
      <c r="G23" s="282"/>
      <c r="H23" s="282"/>
      <c r="I23" s="282"/>
      <c r="J23" s="282"/>
      <c r="K23" s="282"/>
      <c r="L23" s="282"/>
      <c r="M23" s="281"/>
      <c r="N23" s="281"/>
      <c r="O23" s="109"/>
      <c r="P23" s="109"/>
    </row>
    <row r="24" spans="1:16" ht="12.75" customHeight="1" x14ac:dyDescent="0.3">
      <c r="A24" s="280" t="s">
        <v>18</v>
      </c>
      <c r="B24" s="281"/>
      <c r="C24" s="281"/>
      <c r="D24" s="281"/>
      <c r="E24" s="288">
        <v>41.480226644200236</v>
      </c>
      <c r="F24" s="288">
        <v>40.377545027446288</v>
      </c>
      <c r="G24" s="288">
        <v>29.850527144023481</v>
      </c>
      <c r="H24" s="302">
        <f>H22*H29</f>
        <v>39.87734098</v>
      </c>
      <c r="I24" s="302">
        <f t="shared" ref="I24:L24" si="13">I22*I29</f>
        <v>42.307773298812499</v>
      </c>
      <c r="J24" s="302">
        <f t="shared" si="13"/>
        <v>45.508739057726878</v>
      </c>
      <c r="K24" s="302">
        <f t="shared" si="13"/>
        <v>48.032409820878726</v>
      </c>
      <c r="L24" s="302">
        <f t="shared" si="13"/>
        <v>50.411595708520444</v>
      </c>
      <c r="M24" s="281"/>
      <c r="N24" s="281" t="s">
        <v>19</v>
      </c>
      <c r="O24" s="109"/>
      <c r="P24" s="109"/>
    </row>
    <row r="25" spans="1:16" ht="12.75" customHeight="1" x14ac:dyDescent="0.3">
      <c r="A25" s="116" t="s">
        <v>20</v>
      </c>
      <c r="B25" s="289"/>
      <c r="C25" s="117"/>
      <c r="D25" s="117"/>
      <c r="E25" s="294">
        <f>E22-E24</f>
        <v>72.311184806562494</v>
      </c>
      <c r="F25" s="294">
        <f t="shared" ref="F25:H25" si="14">F22-F24</f>
        <v>70.855361384251481</v>
      </c>
      <c r="G25" s="294">
        <f t="shared" si="14"/>
        <v>83.649576065191297</v>
      </c>
      <c r="H25" s="294">
        <f t="shared" si="14"/>
        <v>110.60319101999998</v>
      </c>
      <c r="I25" s="294">
        <f t="shared" ref="I25" si="15">I22-I24</f>
        <v>117.3442014136875</v>
      </c>
      <c r="J25" s="294">
        <f t="shared" ref="J25" si="16">J22-J24</f>
        <v>126.22235172614813</v>
      </c>
      <c r="K25" s="294">
        <f t="shared" ref="K25" si="17">K22-K24</f>
        <v>133.22196686168252</v>
      </c>
      <c r="L25" s="294">
        <f t="shared" ref="L25" si="18">L22-L24</f>
        <v>139.82084092740575</v>
      </c>
      <c r="M25" s="117"/>
      <c r="N25" s="281" t="s">
        <v>21</v>
      </c>
      <c r="O25" s="109"/>
      <c r="P25" s="109"/>
    </row>
    <row r="26" spans="1:16" ht="12.75" customHeight="1" x14ac:dyDescent="0.3">
      <c r="A26" s="283" t="s">
        <v>318</v>
      </c>
      <c r="B26" s="283"/>
      <c r="C26" s="281"/>
      <c r="D26" s="281"/>
      <c r="E26" s="293">
        <f>E25/E10</f>
        <v>5.7710258551898076E-2</v>
      </c>
      <c r="F26" s="293">
        <f t="shared" ref="F26:H26" si="19">F25/F10</f>
        <v>5.2814585549987796E-2</v>
      </c>
      <c r="G26" s="293">
        <f t="shared" si="19"/>
        <v>5.8933676250764448E-2</v>
      </c>
      <c r="H26" s="293">
        <f t="shared" si="19"/>
        <v>7.2486808949601564E-2</v>
      </c>
      <c r="I26" s="293">
        <f t="shared" ref="I26" si="20">I25/I10</f>
        <v>7.2551616438115446E-2</v>
      </c>
      <c r="J26" s="293">
        <f t="shared" ref="J26" si="21">J25/J10</f>
        <v>7.4324573820128276E-2</v>
      </c>
      <c r="K26" s="293">
        <f t="shared" ref="K26" si="22">K25/K10</f>
        <v>7.5793445739289783E-2</v>
      </c>
      <c r="L26" s="293">
        <f t="shared" ref="L26" si="23">L25/L10</f>
        <v>7.7230793218143204E-2</v>
      </c>
      <c r="M26" s="281"/>
      <c r="N26" s="281" t="s">
        <v>22</v>
      </c>
      <c r="O26" s="109"/>
      <c r="P26" s="109"/>
    </row>
    <row r="27" spans="1:16" ht="12.75" customHeight="1" x14ac:dyDescent="0.3">
      <c r="A27" s="280"/>
      <c r="B27" s="281"/>
      <c r="C27" s="281"/>
      <c r="D27" s="281"/>
      <c r="E27" s="282"/>
      <c r="F27" s="282"/>
      <c r="G27" s="282"/>
      <c r="H27" s="282"/>
      <c r="I27" s="282"/>
      <c r="J27" s="282"/>
      <c r="K27" s="282"/>
      <c r="L27" s="282"/>
      <c r="M27" s="281"/>
      <c r="N27" s="281"/>
      <c r="O27" s="109"/>
      <c r="P27" s="109"/>
    </row>
    <row r="28" spans="1:16" ht="12.75" customHeight="1" x14ac:dyDescent="0.3">
      <c r="A28" s="280" t="s">
        <v>23</v>
      </c>
      <c r="B28" s="281"/>
      <c r="C28" s="281"/>
      <c r="D28" s="281"/>
      <c r="E28" s="282"/>
      <c r="F28" s="282"/>
      <c r="G28" s="282"/>
      <c r="H28" s="282"/>
      <c r="I28" s="282"/>
      <c r="J28" s="282"/>
      <c r="K28" s="282"/>
      <c r="L28" s="282"/>
      <c r="M28" s="281"/>
      <c r="N28" s="281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296">
        <f>E24/E22</f>
        <v>0.36452862404425512</v>
      </c>
      <c r="F29" s="296">
        <f t="shared" ref="F29:G29" si="24">F24/F22</f>
        <v>0.36299999999999999</v>
      </c>
      <c r="G29" s="296">
        <f t="shared" si="24"/>
        <v>0.26299999999999996</v>
      </c>
      <c r="H29" s="299">
        <v>0.26500000000000001</v>
      </c>
      <c r="I29" s="299">
        <v>0.26500000000000001</v>
      </c>
      <c r="J29" s="299">
        <v>0.26500000000000001</v>
      </c>
      <c r="K29" s="299">
        <v>0.26500000000000001</v>
      </c>
      <c r="L29" s="299">
        <v>0.26500000000000001</v>
      </c>
      <c r="M29" s="117"/>
      <c r="N29" s="281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abSelected="1" topLeftCell="A7" zoomScaleNormal="100" zoomScaleSheetLayoutView="85" workbookViewId="0">
      <selection activeCell="H32" sqref="H32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284">
        <v>161.84702225600537</v>
      </c>
      <c r="I10" s="284">
        <v>161.84702225600537</v>
      </c>
      <c r="J10" s="284">
        <v>161.84702225600537</v>
      </c>
      <c r="K10" s="284">
        <v>161.84702225600537</v>
      </c>
      <c r="L10" s="284">
        <v>161.84702225600537</v>
      </c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286">
        <v>24.562999999999999</v>
      </c>
      <c r="I11" s="286">
        <v>24.562999999999999</v>
      </c>
      <c r="J11" s="286">
        <v>24.562999999999999</v>
      </c>
      <c r="K11" s="286">
        <v>24.562999999999999</v>
      </c>
      <c r="L11" s="286">
        <v>24.562999999999999</v>
      </c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287">
        <v>46.481999999999999</v>
      </c>
      <c r="I12" s="287">
        <v>46.481999999999999</v>
      </c>
      <c r="J12" s="287">
        <v>46.481999999999999</v>
      </c>
      <c r="K12" s="287">
        <v>46.481999999999999</v>
      </c>
      <c r="L12" s="287">
        <v>46.481999999999999</v>
      </c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si="1">SUM(H10:H12)</f>
        <v>232.89202225600536</v>
      </c>
      <c r="I13" s="118">
        <f t="shared" ref="I13" si="2">SUM(I10:I12)</f>
        <v>232.89202225600536</v>
      </c>
      <c r="J13" s="118">
        <f t="shared" ref="J13" si="3">SUM(J10:J12)</f>
        <v>232.89202225600536</v>
      </c>
      <c r="K13" s="118">
        <f t="shared" ref="K13" si="4">SUM(K10:K12)</f>
        <v>232.89202225600536</v>
      </c>
      <c r="L13" s="118">
        <f t="shared" ref="L13" si="5">SUM(L10:L12)</f>
        <v>232.89202225600536</v>
      </c>
      <c r="M13" s="109"/>
      <c r="N13" s="109"/>
    </row>
    <row r="14" spans="1:14" ht="12.75" customHeight="1" x14ac:dyDescent="0.3">
      <c r="A14" s="281"/>
      <c r="B14" s="281"/>
      <c r="C14" s="281"/>
      <c r="D14" s="281"/>
      <c r="E14" s="281"/>
      <c r="F14" s="282"/>
      <c r="G14" s="282"/>
      <c r="H14" s="282"/>
      <c r="I14" s="282"/>
      <c r="J14" s="282"/>
      <c r="K14" s="282"/>
      <c r="L14" s="282"/>
      <c r="M14" s="109"/>
      <c r="N14" s="109"/>
    </row>
    <row r="15" spans="1:14" ht="12.75" customHeight="1" x14ac:dyDescent="0.3">
      <c r="A15" s="281" t="s">
        <v>410</v>
      </c>
      <c r="B15" s="281"/>
      <c r="C15" s="281"/>
      <c r="D15" s="281"/>
      <c r="E15" s="284">
        <v>857.76499999999999</v>
      </c>
      <c r="F15" s="284">
        <v>947.29200000000003</v>
      </c>
      <c r="G15" s="284">
        <v>1214.018</v>
      </c>
      <c r="H15" s="284">
        <v>1214.018</v>
      </c>
      <c r="I15" s="284">
        <v>1214.018</v>
      </c>
      <c r="J15" s="284">
        <v>1214.018</v>
      </c>
      <c r="K15" s="284">
        <v>1214.018</v>
      </c>
      <c r="L15" s="284">
        <v>1214.018</v>
      </c>
      <c r="M15" s="109"/>
      <c r="N15" s="109" t="s">
        <v>421</v>
      </c>
    </row>
    <row r="16" spans="1:14" ht="12.75" customHeight="1" x14ac:dyDescent="0.3">
      <c r="A16" s="281" t="s">
        <v>34</v>
      </c>
      <c r="B16" s="281"/>
      <c r="C16" s="281"/>
      <c r="D16" s="281"/>
      <c r="E16" s="286">
        <v>66.622</v>
      </c>
      <c r="F16" s="286">
        <v>73.459000000000003</v>
      </c>
      <c r="G16" s="286">
        <v>49.515999999999998</v>
      </c>
      <c r="H16" s="286">
        <v>49.515999999999998</v>
      </c>
      <c r="I16" s="286">
        <v>49.515999999999998</v>
      </c>
      <c r="J16" s="286">
        <v>49.515999999999998</v>
      </c>
      <c r="K16" s="286">
        <v>49.515999999999998</v>
      </c>
      <c r="L16" s="286">
        <v>49.515999999999998</v>
      </c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6">SUM(F15:F16,F13)</f>
        <v>1360.5302461908141</v>
      </c>
      <c r="G17" s="118">
        <f t="shared" si="6"/>
        <v>1496.4260222560056</v>
      </c>
      <c r="H17" s="118">
        <f t="shared" ref="H17" si="7">SUM(H15:H16,H13)</f>
        <v>1496.4260222560056</v>
      </c>
      <c r="I17" s="118">
        <f t="shared" ref="I17" si="8">SUM(I15:I16,I13)</f>
        <v>1496.4260222560056</v>
      </c>
      <c r="J17" s="118">
        <f t="shared" ref="J17" si="9">SUM(J15:J16,J13)</f>
        <v>1496.4260222560056</v>
      </c>
      <c r="K17" s="118">
        <f t="shared" ref="K17" si="10">SUM(K15:K16,K13)</f>
        <v>1496.4260222560056</v>
      </c>
      <c r="L17" s="118">
        <f t="shared" ref="L17" si="11">SUM(L15:L16,L13)</f>
        <v>1496.4260222560056</v>
      </c>
      <c r="M17" s="109"/>
      <c r="N17" s="109"/>
    </row>
    <row r="18" spans="1:14" ht="12.75" customHeight="1" x14ac:dyDescent="0.3">
      <c r="A18" s="281"/>
      <c r="B18" s="281"/>
      <c r="C18" s="281"/>
      <c r="D18" s="281"/>
      <c r="E18" s="281"/>
      <c r="F18" s="282"/>
      <c r="G18" s="282"/>
      <c r="H18" s="282"/>
      <c r="I18" s="282"/>
      <c r="J18" s="282"/>
      <c r="K18" s="282"/>
      <c r="L18" s="282"/>
      <c r="M18" s="109"/>
      <c r="N18" s="109"/>
    </row>
    <row r="19" spans="1:14" ht="12.75" customHeight="1" x14ac:dyDescent="0.3">
      <c r="A19" s="281" t="s">
        <v>227</v>
      </c>
      <c r="B19" s="281"/>
      <c r="C19" s="281"/>
      <c r="D19" s="281"/>
      <c r="E19" s="284">
        <v>6.9009999999999998</v>
      </c>
      <c r="F19" s="284">
        <v>16.010000000000002</v>
      </c>
      <c r="G19" s="284">
        <v>20.108000000000001</v>
      </c>
      <c r="H19" s="284">
        <v>20.108000000000001</v>
      </c>
      <c r="I19" s="284">
        <v>20.108000000000001</v>
      </c>
      <c r="J19" s="284">
        <v>20.108000000000001</v>
      </c>
      <c r="K19" s="284">
        <v>20.108000000000001</v>
      </c>
      <c r="L19" s="284">
        <v>20.108000000000001</v>
      </c>
      <c r="M19" s="109"/>
      <c r="N19" s="109" t="s">
        <v>31</v>
      </c>
    </row>
    <row r="20" spans="1:14" ht="12.75" customHeight="1" x14ac:dyDescent="0.3">
      <c r="A20" s="281" t="s">
        <v>334</v>
      </c>
      <c r="B20" s="281"/>
      <c r="C20" s="281"/>
      <c r="D20" s="281"/>
      <c r="E20" s="286">
        <v>115.131</v>
      </c>
      <c r="F20" s="286">
        <v>96.661000000000001</v>
      </c>
      <c r="G20" s="286">
        <v>105.127</v>
      </c>
      <c r="H20" s="286">
        <v>105.127</v>
      </c>
      <c r="I20" s="286">
        <v>105.127</v>
      </c>
      <c r="J20" s="286">
        <v>105.127</v>
      </c>
      <c r="K20" s="286">
        <v>105.127</v>
      </c>
      <c r="L20" s="286">
        <v>105.127</v>
      </c>
      <c r="M20" s="109"/>
      <c r="N20" s="109" t="s">
        <v>31</v>
      </c>
    </row>
    <row r="21" spans="1:14" ht="12.75" customHeight="1" x14ac:dyDescent="0.3">
      <c r="A21" s="281" t="s">
        <v>36</v>
      </c>
      <c r="B21" s="281"/>
      <c r="C21" s="281"/>
      <c r="D21" s="281"/>
      <c r="E21" s="286">
        <v>197.136</v>
      </c>
      <c r="F21" s="286">
        <v>194.001</v>
      </c>
      <c r="G21" s="286">
        <v>210.184</v>
      </c>
      <c r="H21" s="286">
        <v>210.184</v>
      </c>
      <c r="I21" s="286">
        <v>210.184</v>
      </c>
      <c r="J21" s="286">
        <v>210.184</v>
      </c>
      <c r="K21" s="286">
        <v>210.184</v>
      </c>
      <c r="L21" s="286">
        <v>210.184</v>
      </c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335.41899999999998</v>
      </c>
      <c r="I22" s="118">
        <f t="shared" ref="I22" si="14">SUM(I19:I21)</f>
        <v>335.41899999999998</v>
      </c>
      <c r="J22" s="118">
        <f t="shared" ref="J22" si="15">SUM(J19:J21)</f>
        <v>335.41899999999998</v>
      </c>
      <c r="K22" s="118">
        <f t="shared" ref="K22" si="16">SUM(K19:K21)</f>
        <v>335.41899999999998</v>
      </c>
      <c r="L22" s="118">
        <f t="shared" ref="L22" si="17">SUM(L19:L21)</f>
        <v>335.41899999999998</v>
      </c>
      <c r="M22" s="109"/>
      <c r="N22" s="109"/>
    </row>
    <row r="23" spans="1:14" ht="12.75" customHeight="1" x14ac:dyDescent="0.3">
      <c r="A23" s="281"/>
      <c r="B23" s="281"/>
      <c r="C23" s="281"/>
      <c r="D23" s="281"/>
      <c r="E23" s="281"/>
      <c r="F23" s="282"/>
      <c r="G23" s="282"/>
      <c r="H23" s="282"/>
      <c r="I23" s="282"/>
      <c r="J23" s="282"/>
      <c r="K23" s="282"/>
      <c r="L23" s="282"/>
      <c r="M23" s="109"/>
      <c r="N23" s="109"/>
    </row>
    <row r="24" spans="1:14" ht="12.75" customHeight="1" x14ac:dyDescent="0.3">
      <c r="A24" s="281" t="s">
        <v>38</v>
      </c>
      <c r="B24" s="281"/>
      <c r="C24" s="281"/>
      <c r="D24" s="281"/>
      <c r="E24" s="284">
        <v>588.17999999999995</v>
      </c>
      <c r="F24" s="284">
        <v>695.26</v>
      </c>
      <c r="G24" s="284">
        <v>763.94200000000001</v>
      </c>
      <c r="H24" s="284">
        <v>763.94200000000001</v>
      </c>
      <c r="I24" s="284">
        <v>763.94200000000001</v>
      </c>
      <c r="J24" s="284">
        <v>763.94200000000001</v>
      </c>
      <c r="K24" s="284">
        <v>763.94200000000001</v>
      </c>
      <c r="L24" s="284">
        <v>763.94200000000001</v>
      </c>
      <c r="M24" s="109"/>
      <c r="N24" s="109" t="s">
        <v>39</v>
      </c>
    </row>
    <row r="25" spans="1:14" ht="12.75" customHeight="1" x14ac:dyDescent="0.3">
      <c r="A25" s="281" t="s">
        <v>40</v>
      </c>
      <c r="B25" s="281"/>
      <c r="C25" s="281"/>
      <c r="D25" s="281"/>
      <c r="E25" s="286">
        <v>49.255000000000003</v>
      </c>
      <c r="F25" s="286">
        <v>78.606999999999999</v>
      </c>
      <c r="G25" s="286">
        <v>122.14</v>
      </c>
      <c r="H25" s="286">
        <v>122.14</v>
      </c>
      <c r="I25" s="286">
        <v>122.14</v>
      </c>
      <c r="J25" s="286">
        <v>122.14</v>
      </c>
      <c r="K25" s="286">
        <v>122.14</v>
      </c>
      <c r="L25" s="286">
        <v>122.14</v>
      </c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18">SUM(F24:F25,F22)</f>
        <v>1080.539</v>
      </c>
      <c r="G26" s="118">
        <f t="shared" si="18"/>
        <v>1221.501</v>
      </c>
      <c r="H26" s="118">
        <f t="shared" ref="H26" si="19">SUM(H24:H25,H22)</f>
        <v>1221.501</v>
      </c>
      <c r="I26" s="118">
        <f t="shared" ref="I26" si="20">SUM(I24:I25,I22)</f>
        <v>1221.501</v>
      </c>
      <c r="J26" s="118">
        <f t="shared" ref="J26" si="21">SUM(J24:J25,J22)</f>
        <v>1221.501</v>
      </c>
      <c r="K26" s="118">
        <f t="shared" ref="K26" si="22">SUM(K24:K25,K22)</f>
        <v>1221.501</v>
      </c>
      <c r="L26" s="118">
        <f t="shared" ref="L26" si="23">SUM(L24:L25,L22)</f>
        <v>1221.501</v>
      </c>
      <c r="M26" s="109"/>
      <c r="N26" s="109"/>
    </row>
    <row r="27" spans="1:14" ht="12.75" customHeight="1" x14ac:dyDescent="0.3">
      <c r="A27" s="281"/>
      <c r="B27" s="281"/>
      <c r="C27" s="281"/>
      <c r="D27" s="281"/>
      <c r="E27" s="281"/>
      <c r="F27" s="282"/>
      <c r="G27" s="282"/>
      <c r="H27" s="282"/>
      <c r="I27" s="282"/>
      <c r="J27" s="282"/>
      <c r="K27" s="282"/>
      <c r="L27" s="282"/>
      <c r="M27" s="109"/>
      <c r="N27" s="109"/>
    </row>
    <row r="28" spans="1:14" ht="12.75" customHeight="1" x14ac:dyDescent="0.3">
      <c r="A28" s="281" t="s">
        <v>42</v>
      </c>
      <c r="B28" s="281"/>
      <c r="C28" s="281"/>
      <c r="D28" s="281"/>
      <c r="E28" s="286">
        <v>301.04388480656257</v>
      </c>
      <c r="F28" s="286">
        <v>279.99124619081402</v>
      </c>
      <c r="G28" s="286">
        <v>274.92502225600526</v>
      </c>
      <c r="H28" s="286">
        <v>274.92502225600526</v>
      </c>
      <c r="I28" s="286">
        <v>274.92502225600526</v>
      </c>
      <c r="J28" s="286">
        <v>274.92502225600526</v>
      </c>
      <c r="K28" s="286">
        <v>274.92502225600526</v>
      </c>
      <c r="L28" s="286">
        <v>274.92502225600526</v>
      </c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4">
        <f>SUM(E28,E26)</f>
        <v>1257.6468848065624</v>
      </c>
      <c r="F29" s="294">
        <f t="shared" ref="F29:G29" si="24">SUM(F28,F26)</f>
        <v>1360.5302461908141</v>
      </c>
      <c r="G29" s="294">
        <f t="shared" si="24"/>
        <v>1496.4260222560051</v>
      </c>
      <c r="H29" s="294">
        <f t="shared" ref="H29" si="25">SUM(H28,H26)</f>
        <v>1496.4260222560051</v>
      </c>
      <c r="I29" s="294">
        <f t="shared" ref="I29" si="26">SUM(I28,I26)</f>
        <v>1496.4260222560051</v>
      </c>
      <c r="J29" s="294">
        <f t="shared" ref="J29" si="27">SUM(J28,J26)</f>
        <v>1496.4260222560051</v>
      </c>
      <c r="K29" s="294">
        <f t="shared" ref="K29" si="28">SUM(K28,K26)</f>
        <v>1496.4260222560051</v>
      </c>
      <c r="L29" s="294">
        <f t="shared" ref="L29" si="29">SUM(L28,L26)</f>
        <v>1496.4260222560051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03">
        <f>E17-E29</f>
        <v>0</v>
      </c>
      <c r="F31" s="303">
        <f t="shared" ref="F31:G31" si="30">F17-F29</f>
        <v>0</v>
      </c>
      <c r="G31" s="303">
        <f t="shared" si="30"/>
        <v>0</v>
      </c>
      <c r="H31" s="303">
        <f t="shared" ref="H31:L31" si="31">H17-H29</f>
        <v>0</v>
      </c>
      <c r="I31" s="303">
        <f t="shared" si="31"/>
        <v>0</v>
      </c>
      <c r="J31" s="303">
        <f t="shared" si="31"/>
        <v>0</v>
      </c>
      <c r="K31" s="303">
        <f t="shared" si="31"/>
        <v>0</v>
      </c>
      <c r="L31" s="303">
        <f t="shared" si="31"/>
        <v>0</v>
      </c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1">
        <f>'Income Statement'!E25</f>
        <v>72.311184806562494</v>
      </c>
      <c r="F34" s="231">
        <f>'Income Statement'!F25</f>
        <v>70.855361384251481</v>
      </c>
      <c r="G34" s="231">
        <f>'Income Statement'!G25</f>
        <v>83.649576065191297</v>
      </c>
      <c r="H34" s="231">
        <f>'Income Statement'!H25</f>
        <v>110.60319101999998</v>
      </c>
      <c r="I34" s="231">
        <f>'Income Statement'!I25</f>
        <v>117.3442014136875</v>
      </c>
      <c r="J34" s="231">
        <f>'Income Statement'!J25</f>
        <v>126.22235172614813</v>
      </c>
      <c r="K34" s="231">
        <f>'Income Statement'!K25</f>
        <v>133.22196686168252</v>
      </c>
      <c r="L34" s="231">
        <f>'Income Statement'!L25</f>
        <v>139.82084092740575</v>
      </c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04">
        <f>E10/E22</f>
        <v>0.85949056549078395</v>
      </c>
      <c r="F35" s="304">
        <f t="shared" ref="F35:G35" si="32">F10/F22</f>
        <v>0.9048665877250418</v>
      </c>
      <c r="G35" s="304">
        <f t="shared" si="32"/>
        <v>0.48252192707033703</v>
      </c>
      <c r="H35" s="304">
        <f t="shared" ref="H35:L35" si="33">H10/H22</f>
        <v>0.48252192707033703</v>
      </c>
      <c r="I35" s="304">
        <f t="shared" si="33"/>
        <v>0.48252192707033703</v>
      </c>
      <c r="J35" s="304">
        <f t="shared" si="33"/>
        <v>0.48252192707033703</v>
      </c>
      <c r="K35" s="304">
        <f t="shared" si="33"/>
        <v>0.48252192707033703</v>
      </c>
      <c r="L35" s="304">
        <f t="shared" si="33"/>
        <v>0.48252192707033703</v>
      </c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si="35">H34/H28</f>
        <v>0.40230310836169825</v>
      </c>
      <c r="I36" s="114">
        <f t="shared" si="35"/>
        <v>0.42682255856805451</v>
      </c>
      <c r="J36" s="114">
        <f t="shared" si="35"/>
        <v>0.45911554608736971</v>
      </c>
      <c r="K36" s="114">
        <f t="shared" si="35"/>
        <v>0.48457563363449913</v>
      </c>
      <c r="L36" s="114">
        <f t="shared" si="35"/>
        <v>0.50857808350819045</v>
      </c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si="37">H24-H10</f>
        <v>602.0949777439946</v>
      </c>
      <c r="I37" s="113">
        <f t="shared" si="37"/>
        <v>602.0949777439946</v>
      </c>
      <c r="J37" s="113">
        <f t="shared" si="37"/>
        <v>602.0949777439946</v>
      </c>
      <c r="K37" s="113">
        <f t="shared" si="37"/>
        <v>602.0949777439946</v>
      </c>
      <c r="L37" s="113">
        <f t="shared" si="37"/>
        <v>602.0949777439946</v>
      </c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topLeftCell="A21" zoomScaleNormal="100" zoomScaleSheetLayoutView="85" workbookViewId="0">
      <selection activeCell="J35" sqref="J3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226"/>
      <c r="I11" s="226"/>
      <c r="J11" s="226"/>
      <c r="K11" s="226"/>
      <c r="L11" s="226"/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56</v>
      </c>
      <c r="B13" s="109"/>
      <c r="C13" s="109"/>
      <c r="D13" s="109"/>
      <c r="E13" s="113">
        <f>SUM(E10:E12)</f>
        <v>333.25988480656252</v>
      </c>
      <c r="F13" s="113">
        <f t="shared" ref="F13:G13" si="0">SUM(F10:F12)</f>
        <v>339.77924619081409</v>
      </c>
      <c r="G13" s="113">
        <f t="shared" si="0"/>
        <v>232.89202225600536</v>
      </c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109"/>
      <c r="G14" s="109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57</v>
      </c>
      <c r="B15" s="109"/>
      <c r="C15" s="109"/>
      <c r="D15" s="109"/>
      <c r="E15" s="284">
        <v>857.76499999999999</v>
      </c>
      <c r="F15" s="284">
        <v>947.29200000000003</v>
      </c>
      <c r="G15" s="284">
        <v>1214.018</v>
      </c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19" t="s">
        <v>58</v>
      </c>
      <c r="B16" s="109"/>
      <c r="C16" s="109"/>
      <c r="D16" s="109"/>
      <c r="E16" s="286">
        <v>66.622</v>
      </c>
      <c r="F16" s="286">
        <v>73.459000000000003</v>
      </c>
      <c r="G16" s="286">
        <v>49.515999999999998</v>
      </c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09"/>
      <c r="B17" s="109"/>
      <c r="C17" s="109"/>
      <c r="D17" s="109"/>
      <c r="E17" s="113">
        <f>SUM(E15:E16,E13)</f>
        <v>1257.6468848065624</v>
      </c>
      <c r="F17" s="113">
        <f t="shared" ref="F17:G17" si="1">SUM(F15:F16,F13)</f>
        <v>1360.5302461908141</v>
      </c>
      <c r="G17" s="113">
        <f t="shared" si="1"/>
        <v>1496.4260222560056</v>
      </c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59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43</v>
      </c>
    </row>
    <row r="19" spans="1:14" ht="12.75" customHeight="1" x14ac:dyDescent="0.3">
      <c r="A19" s="109" t="s">
        <v>60</v>
      </c>
      <c r="B19" s="109"/>
      <c r="C19" s="109"/>
      <c r="D19" s="109"/>
      <c r="E19" s="284">
        <v>6.9009999999999998</v>
      </c>
      <c r="F19" s="284">
        <v>16.010000000000002</v>
      </c>
      <c r="G19" s="284">
        <v>20.108000000000001</v>
      </c>
      <c r="H19" s="226"/>
      <c r="I19" s="226"/>
      <c r="J19" s="226"/>
      <c r="K19" s="226"/>
      <c r="L19" s="226"/>
      <c r="M19" s="109"/>
      <c r="N19" s="109" t="s">
        <v>43</v>
      </c>
    </row>
    <row r="20" spans="1:14" ht="12.75" customHeight="1" x14ac:dyDescent="0.3">
      <c r="A20" s="109" t="s">
        <v>222</v>
      </c>
      <c r="B20" s="109"/>
      <c r="C20" s="109"/>
      <c r="D20" s="109"/>
      <c r="E20" s="286">
        <v>115.131</v>
      </c>
      <c r="F20" s="286">
        <v>96.661000000000001</v>
      </c>
      <c r="G20" s="286">
        <v>105.127</v>
      </c>
      <c r="H20" s="226"/>
      <c r="I20" s="226"/>
      <c r="J20" s="226"/>
      <c r="K20" s="226"/>
      <c r="L20" s="226"/>
      <c r="M20" s="109"/>
      <c r="N20" s="109" t="s">
        <v>39</v>
      </c>
    </row>
    <row r="21" spans="1:14" ht="12.75" customHeight="1" x14ac:dyDescent="0.3">
      <c r="A21" s="109" t="s">
        <v>346</v>
      </c>
      <c r="B21" s="109"/>
      <c r="C21" s="109"/>
      <c r="D21" s="109"/>
      <c r="E21" s="286">
        <v>197.136</v>
      </c>
      <c r="F21" s="286">
        <v>194.001</v>
      </c>
      <c r="G21" s="286">
        <v>210.184</v>
      </c>
      <c r="H21" s="226"/>
      <c r="I21" s="226"/>
      <c r="J21" s="226"/>
      <c r="K21" s="226"/>
      <c r="L21" s="226"/>
      <c r="M21" s="109"/>
      <c r="N21" s="109" t="s">
        <v>39</v>
      </c>
    </row>
    <row r="22" spans="1:14" ht="12.75" customHeight="1" x14ac:dyDescent="0.3">
      <c r="A22" s="119" t="s">
        <v>61</v>
      </c>
      <c r="B22" s="109"/>
      <c r="C22" s="109"/>
      <c r="D22" s="109"/>
      <c r="E22" s="113">
        <f>SUM(E19:E21)</f>
        <v>319.16800000000001</v>
      </c>
      <c r="F22" s="113">
        <f t="shared" ref="F22:G22" si="2">SUM(F19:F21)</f>
        <v>306.67200000000003</v>
      </c>
      <c r="G22" s="113">
        <f t="shared" si="2"/>
        <v>335.41899999999998</v>
      </c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62</v>
      </c>
      <c r="B24" s="109"/>
      <c r="C24" s="109"/>
      <c r="D24" s="109"/>
      <c r="E24" s="284">
        <v>588.17999999999995</v>
      </c>
      <c r="F24" s="284">
        <v>695.26</v>
      </c>
      <c r="G24" s="284">
        <v>763.94200000000001</v>
      </c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/>
      <c r="B25" s="109"/>
      <c r="C25" s="109"/>
      <c r="D25" s="109"/>
      <c r="E25" s="286">
        <v>49.255000000000003</v>
      </c>
      <c r="F25" s="286">
        <v>78.606999999999999</v>
      </c>
      <c r="G25" s="286">
        <v>122.14</v>
      </c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63</v>
      </c>
      <c r="B26" s="109"/>
      <c r="C26" s="109"/>
      <c r="D26" s="109"/>
      <c r="E26" s="113">
        <f>SUM(E24:E25,E22)</f>
        <v>956.60299999999995</v>
      </c>
      <c r="F26" s="113">
        <f t="shared" ref="F26:G26" si="3">SUM(F24:F25,F22)</f>
        <v>1080.539</v>
      </c>
      <c r="G26" s="113">
        <f t="shared" si="3"/>
        <v>1221.501</v>
      </c>
      <c r="H26" s="226"/>
      <c r="I26" s="226"/>
      <c r="J26" s="226"/>
      <c r="K26" s="226"/>
      <c r="L26" s="226"/>
      <c r="M26" s="109"/>
      <c r="N26" s="109" t="s">
        <v>424</v>
      </c>
    </row>
    <row r="27" spans="1:14" ht="12.75" customHeight="1" x14ac:dyDescent="0.3">
      <c r="A27" s="119" t="s">
        <v>64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 t="s">
        <v>425</v>
      </c>
    </row>
    <row r="28" spans="1:14" ht="12.75" customHeight="1" x14ac:dyDescent="0.3">
      <c r="A28" s="109"/>
      <c r="B28" s="109"/>
      <c r="C28" s="109"/>
      <c r="D28" s="109"/>
      <c r="E28" s="286">
        <v>301.04388480656257</v>
      </c>
      <c r="F28" s="286">
        <v>279.99124619081402</v>
      </c>
      <c r="G28" s="286">
        <v>274.92502225600526</v>
      </c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7" t="s">
        <v>23</v>
      </c>
      <c r="B29" s="117"/>
      <c r="C29" s="117"/>
      <c r="D29" s="117"/>
      <c r="E29" s="294">
        <f>SUM(E28,E26)</f>
        <v>1257.6468848065624</v>
      </c>
      <c r="F29" s="294">
        <f t="shared" ref="F29:G29" si="4">SUM(F28,F26)</f>
        <v>1360.5302461908141</v>
      </c>
      <c r="G29" s="294">
        <f t="shared" si="4"/>
        <v>1496.4260222560051</v>
      </c>
      <c r="H29" s="279"/>
      <c r="I29" s="279"/>
      <c r="J29" s="279"/>
      <c r="K29" s="279"/>
      <c r="L29" s="279"/>
      <c r="M29" s="109"/>
      <c r="N29" s="109"/>
    </row>
    <row r="30" spans="1:14" ht="12.75" customHeight="1" x14ac:dyDescent="0.3">
      <c r="A30" s="109" t="s">
        <v>376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>
        <f>E17-E29</f>
        <v>0</v>
      </c>
      <c r="F31" s="8">
        <f t="shared" ref="F31:G31" si="5">F17-F29</f>
        <v>0</v>
      </c>
      <c r="G31" s="8">
        <f t="shared" si="5"/>
        <v>0</v>
      </c>
      <c r="H31" s="226"/>
      <c r="I31" s="226"/>
      <c r="J31" s="226"/>
      <c r="K31" s="226"/>
      <c r="L31" s="226"/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72</v>
      </c>
    </row>
    <row r="13" spans="1:14" ht="12.75" customHeight="1" x14ac:dyDescent="0.3">
      <c r="A13" s="119" t="s">
        <v>379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26"/>
      <c r="F17" s="226"/>
      <c r="G17" s="226"/>
      <c r="H17" s="227"/>
      <c r="I17" s="227"/>
      <c r="J17" s="227"/>
      <c r="K17" s="227"/>
      <c r="L17" s="227"/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26"/>
      <c r="F18" s="226"/>
      <c r="G18" s="226"/>
      <c r="H18" s="227"/>
      <c r="I18" s="227"/>
      <c r="J18" s="227"/>
      <c r="K18" s="227"/>
      <c r="L18" s="227"/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 t="s">
        <v>81</v>
      </c>
    </row>
    <row r="12" spans="1:14" ht="12.75" customHeight="1" x14ac:dyDescent="0.3">
      <c r="A12" s="119" t="s">
        <v>82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 x14ac:dyDescent="0.3">
      <c r="A14" s="109" t="s">
        <v>227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312</v>
      </c>
    </row>
    <row r="15" spans="1:14" ht="12.75" customHeight="1" x14ac:dyDescent="0.3">
      <c r="A15" s="109" t="s">
        <v>334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336</v>
      </c>
    </row>
    <row r="16" spans="1:14" ht="12.75" customHeight="1" x14ac:dyDescent="0.3">
      <c r="A16" s="109" t="s">
        <v>36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212</v>
      </c>
    </row>
    <row r="17" spans="1:14" ht="12.75" customHeight="1" x14ac:dyDescent="0.3">
      <c r="A17" s="119" t="s">
        <v>83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 x14ac:dyDescent="0.3">
      <c r="A19" s="119" t="s">
        <v>84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85</v>
      </c>
    </row>
    <row r="20" spans="1:14" ht="12.75" customHeight="1" x14ac:dyDescent="0.3">
      <c r="A20" s="11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86</v>
      </c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2023-11-05T16:18:39Z</dcterms:modified>
</cp:coreProperties>
</file>