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goldberg/Documents/School folders/B&amp;G/Grad Recruiting/"/>
    </mc:Choice>
  </mc:AlternateContent>
  <xr:revisionPtr revIDLastSave="0" documentId="13_ncr:1_{CC618F90-3FDC-4F46-84EE-F6A986AF8D08}" xr6:coauthVersionLast="47" xr6:coauthVersionMax="47" xr10:uidLastSave="{00000000-0000-0000-0000-000000000000}"/>
  <bookViews>
    <workbookView xWindow="17100" yWindow="780" windowWidth="17100" windowHeight="19860" xr2:uid="{537C842F-AF8F-5E4D-8DA8-AD45404258DB}"/>
  </bookViews>
  <sheets>
    <sheet name="Sheet1" sheetId="1" r:id="rId1"/>
  </sheets>
  <definedNames>
    <definedName name="_xlnm._FilterDatabase" localSheetId="0" hidden="1">Sheet1!$A$10:$F$27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/>
  <c r="J10" i="1" l="1"/>
</calcChain>
</file>

<file path=xl/sharedStrings.xml><?xml version="1.0" encoding="utf-8"?>
<sst xmlns="http://schemas.openxmlformats.org/spreadsheetml/2006/main" count="167" uniqueCount="109">
  <si>
    <t>Bank</t>
  </si>
  <si>
    <t>Position</t>
  </si>
  <si>
    <t>DOA</t>
  </si>
  <si>
    <t>Names</t>
  </si>
  <si>
    <t>Portal</t>
  </si>
  <si>
    <t>Next Steps</t>
  </si>
  <si>
    <t>Deutsche Bank</t>
  </si>
  <si>
    <t>LTA</t>
  </si>
  <si>
    <t>Welath Managemnt Grad Program</t>
  </si>
  <si>
    <t>mariclare mcentire (santander now)</t>
  </si>
  <si>
    <t>Applied/Reached out to Connection</t>
  </si>
  <si>
    <t>Voya</t>
  </si>
  <si>
    <t>Analyst Program - Multi Asset Strategies &amp; Solutions</t>
  </si>
  <si>
    <t>none</t>
  </si>
  <si>
    <t>Applied</t>
  </si>
  <si>
    <t>BNP S&amp;T</t>
  </si>
  <si>
    <t>Full time Analyst Global Markets S&amp;T</t>
  </si>
  <si>
    <t>Gemini - Jobs</t>
  </si>
  <si>
    <t>KKR (Global Atlantic)</t>
  </si>
  <si>
    <t>2026 Analyst, Institutional Markets</t>
  </si>
  <si>
    <t>USC Alum - LinkedIn</t>
  </si>
  <si>
    <t>BMO</t>
  </si>
  <si>
    <t>Corporate Banking</t>
  </si>
  <si>
    <t>Rally - Round 2 Beginning Dec 4th</t>
  </si>
  <si>
    <t>CFG Merchant Solutions</t>
  </si>
  <si>
    <t xml:space="preserve">S&amp;P global </t>
  </si>
  <si>
    <t>Production and Revenue Analysis</t>
  </si>
  <si>
    <t>NO</t>
  </si>
  <si>
    <t>Date of Application</t>
  </si>
  <si>
    <t>Van Eck</t>
  </si>
  <si>
    <t>Equity Research/Fixed Income Analyst</t>
  </si>
  <si>
    <t>Junior Portfolio Operations Analyst</t>
  </si>
  <si>
    <t>Deadline</t>
  </si>
  <si>
    <t>Link Logistics Real Estate</t>
  </si>
  <si>
    <t>FP&amp;A Analyst</t>
  </si>
  <si>
    <t>Zurich North America</t>
  </si>
  <si>
    <t>Market Facing Underwriting Trainee</t>
  </si>
  <si>
    <t>Corporate Development Analyst</t>
  </si>
  <si>
    <t>Sony Music Entertainment</t>
  </si>
  <si>
    <t>ARDIAN</t>
  </si>
  <si>
    <t>Secondaries &amp; Primaries Analyst 1</t>
  </si>
  <si>
    <t>Firm</t>
  </si>
  <si>
    <t>Role</t>
  </si>
  <si>
    <t>Location</t>
  </si>
  <si>
    <t>Link</t>
  </si>
  <si>
    <t>People</t>
  </si>
  <si>
    <t>Seminole Electric Cooperative</t>
  </si>
  <si>
    <t>Financial Analyst - Cash Management</t>
  </si>
  <si>
    <t>No Portal</t>
  </si>
  <si>
    <t>Stress Testing &amp; Liquidity Risk Analyst</t>
  </si>
  <si>
    <t>Tampa</t>
  </si>
  <si>
    <t>Jen Locke</t>
  </si>
  <si>
    <t>find recruiter</t>
  </si>
  <si>
    <t>≠≠</t>
  </si>
  <si>
    <t>Raymond James</t>
  </si>
  <si>
    <t>Structured Investments Trading &amp; Operations Analyst</t>
  </si>
  <si>
    <t>St. Pete</t>
  </si>
  <si>
    <t>Colby M, Rohan</t>
  </si>
  <si>
    <t>JLL</t>
  </si>
  <si>
    <t>Capital Markets Research</t>
  </si>
  <si>
    <t>Fitch Ratings</t>
  </si>
  <si>
    <t>Associate Analyst Program</t>
  </si>
  <si>
    <t>New York</t>
  </si>
  <si>
    <t>New York / Chicago</t>
  </si>
  <si>
    <t>Synpulse</t>
  </si>
  <si>
    <t>Management Consultant - Banking (NYC)</t>
  </si>
  <si>
    <t>VRC</t>
  </si>
  <si>
    <t>Portfolio Analyst</t>
  </si>
  <si>
    <t>New York / Hybrid</t>
  </si>
  <si>
    <t>Scotiabank</t>
  </si>
  <si>
    <t>Corp Banking Orginiation Tech Analyst</t>
  </si>
  <si>
    <t>NYU</t>
  </si>
  <si>
    <t>Investment Analyst</t>
  </si>
  <si>
    <t>None</t>
  </si>
  <si>
    <t>Jobs</t>
  </si>
  <si>
    <t>Days</t>
  </si>
  <si>
    <t>Jobs/Day</t>
  </si>
  <si>
    <t>Santander</t>
  </si>
  <si>
    <t>Corporate Banking Relationship Manager</t>
  </si>
  <si>
    <t>CreditSights</t>
  </si>
  <si>
    <t xml:space="preserve">Portal </t>
  </si>
  <si>
    <t>DTCC</t>
  </si>
  <si>
    <t>TD Securities</t>
  </si>
  <si>
    <t>Capital Markets Analyst</t>
  </si>
  <si>
    <t>CIBC</t>
  </si>
  <si>
    <t>Analyst Loan Syndication (Corp Banking)</t>
  </si>
  <si>
    <t xml:space="preserve">SMBC </t>
  </si>
  <si>
    <t>Fund Finance FX Analyst</t>
  </si>
  <si>
    <t xml:space="preserve">RBC </t>
  </si>
  <si>
    <t>Portal?</t>
  </si>
  <si>
    <t>Global Markets Junior Business Analyst</t>
  </si>
  <si>
    <t>Analyst - Payments Consulting- US Debit</t>
  </si>
  <si>
    <t>Amex</t>
  </si>
  <si>
    <t>Morgan Stanley (Investment Management)</t>
  </si>
  <si>
    <t>High Yield Research Analyst</t>
  </si>
  <si>
    <t>Credit Analyst</t>
  </si>
  <si>
    <t>Social Capital Resources</t>
  </si>
  <si>
    <t>LinkedIn</t>
  </si>
  <si>
    <t>Jefferies</t>
  </si>
  <si>
    <t>Fixed income Derivatives Trade Support Analyst</t>
  </si>
  <si>
    <t>Analyst, Equity Derivative Sales</t>
  </si>
  <si>
    <t>MUFG</t>
  </si>
  <si>
    <t>Analyst - Growth &amp; Middle Market Technology Banking - Relationship Management</t>
  </si>
  <si>
    <t>Blue Owl Capital</t>
  </si>
  <si>
    <t>Structured Credit Analyst</t>
  </si>
  <si>
    <t>Finanical Analyst (chat crop finance)</t>
  </si>
  <si>
    <t>Global Markets Analyst</t>
  </si>
  <si>
    <t xml:space="preserve">DHI Mortage </t>
  </si>
  <si>
    <t>Junior Capital Markets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</si>
</sst>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u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Alignment="1">
      <alignment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6" fontId="0" fillId="0" borderId="0" xfId="0" applyNumberForma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5" fillId="0" borderId="0" xfId="1" applyFont="1"/>
    <xf numFmtId="0" fontId="4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joinhandshake.com/jobs/10499129?searchId=205d5ce2-b1cd-4a16-86f1-a0c75b670b7e" TargetMode="External"/><Relationship Id="rId18" Type="http://schemas.openxmlformats.org/officeDocument/2006/relationships/hyperlink" Target="https://jll.wd1.myworkdayjobs.com/en-US/jllcareers/job/Analyst--Office-Capital-Markets-Research_REQ469577" TargetMode="External"/><Relationship Id="rId26" Type="http://schemas.openxmlformats.org/officeDocument/2006/relationships/hyperlink" Target="https://cibc.wd3.myworkdayjobs.com/en-US/search/userHome" TargetMode="External"/><Relationship Id="rId3" Type="http://schemas.openxmlformats.org/officeDocument/2006/relationships/hyperlink" Target="https://bwelcome.hr.bnpparibas/en_US/externalcareers/ApplicationMethods?jobId=59879&amp;source=BNP+Paribas+website" TargetMode="External"/><Relationship Id="rId21" Type="http://schemas.openxmlformats.org/officeDocument/2006/relationships/hyperlink" Target="https://workforcenow.adp.com/mascsr/applicant/mdf/recruitment/postLogin.html?cid=9b136ddc-361a-422a-b03c-668faab57287&amp;ccId=19000101_000001&amp;jobId=565728&amp;source=LI&amp;lang=en_US&amp;jobId=565728&amp;requisitionId=9200858714404_1&amp;params=jobId&amp;OTP_login=true" TargetMode="External"/><Relationship Id="rId34" Type="http://schemas.openxmlformats.org/officeDocument/2006/relationships/hyperlink" Target="https://drhorton.taleo.net/careersection/2/mysubmissions.ftl?lang=en&amp;iniurl.src=LinkedIn_Slots" TargetMode="External"/><Relationship Id="rId7" Type="http://schemas.openxmlformats.org/officeDocument/2006/relationships/hyperlink" Target="https://bmo.wd3.myworkdayjobs.com/en-US/External/userHome" TargetMode="External"/><Relationship Id="rId12" Type="http://schemas.openxmlformats.org/officeDocument/2006/relationships/hyperlink" Target="https://app.joinhandshake.com/jobs/10253920?searchId=205d5ce2-b1cd-4a16-86f1-a0c75b670b7e" TargetMode="External"/><Relationship Id="rId17" Type="http://schemas.openxmlformats.org/officeDocument/2006/relationships/hyperlink" Target="https://raymondjames.wd1.myworkdayjobs.com/en-US/RaymondJamesCareers/job/Job-Posting-Title-Structured-Investments-Trading---Operations-Analyst_R-0008382-1" TargetMode="External"/><Relationship Id="rId25" Type="http://schemas.openxmlformats.org/officeDocument/2006/relationships/hyperlink" Target="https://td.wd3.myworkdayjobs.com/en-US/TD_Bank_Careers/userHome" TargetMode="External"/><Relationship Id="rId33" Type="http://schemas.openxmlformats.org/officeDocument/2006/relationships/hyperlink" Target="https://raymondjames.wd1.myworkdayjobs.com/en-US/RaymondJamesCareers/jobTasks/completed/application?source=LinkedIn" TargetMode="External"/><Relationship Id="rId2" Type="http://schemas.openxmlformats.org/officeDocument/2006/relationships/hyperlink" Target="https://godirect.wd5.myworkdayjobs.com/en-US/voya_jobs/userHome" TargetMode="External"/><Relationship Id="rId16" Type="http://schemas.openxmlformats.org/officeDocument/2006/relationships/hyperlink" Target="https://ebxr.fa.us2.oraclecloud.com/hcmUI/CandidateExperience/en/sites/CX_1/jobs?keyword=2026+EDGE&amp;mode=location" TargetMode="External"/><Relationship Id="rId20" Type="http://schemas.openxmlformats.org/officeDocument/2006/relationships/hyperlink" Target="https://nam02.safelinks.protection.outlook.com/?url=https%3A%2F%2Fsynpulse.careers.hibob.com%2Fsession%3Ftoken%3Dt5SasQTblq1TQzMQRDT7&amp;data=05%7C02%7Cleog%40email.sc.edu%7Cb2f2f1f254e24be8b99308de40042b9f%7C4b2a4b19d135420e8bb2b1cd238998cc%7C0%7C0%7C639018583819098004%7CUnknown%7CTWFpbGZsb3d8eyJFbXB0eU1hcGkiOnRydWUsIlYiOiIwLjAuMDAwMCIsIlAiOiJXaW4zMiIsIkFOIjoiTWFpbCIsIldUIjoyfQ%3D%3D%7C0%7C%7C%7C&amp;sdata=hdZdVwoZtr%2B4YO0lBTStTPjRqWgD1aH%2FjurxP3M5GFc%3D&amp;reserved=0" TargetMode="External"/><Relationship Id="rId29" Type="http://schemas.openxmlformats.org/officeDocument/2006/relationships/hyperlink" Target="https://axp.taleo.net/careersection/careersection/2/mysubmissions.ftl?lang=en" TargetMode="External"/><Relationship Id="rId1" Type="http://schemas.openxmlformats.org/officeDocument/2006/relationships/hyperlink" Target="https://db.recsolu.com/external/requisitions/ngSAqXNzrJ_d0RzBew4vBQ?kid=us.EarlyCareers_bau.Joinhandshake.job-posting.paid.url-builder---handshake-us-package.RadancyUK.344836&amp;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&amp;gad_source=7&amp;dclid=CL3XpYupuJADFbXclAkdOE4CnA" TargetMode="External"/><Relationship Id="rId6" Type="http://schemas.openxmlformats.org/officeDocument/2006/relationships/hyperlink" Target="https://www.linkedin.com/search/results/people/?keywords=%22University%20of%20South%20Carolina%22%20KKR&amp;origin=GLOBAL_SEARCH_HEADER&amp;currentCompany=%5B%2215787%22%2C%223637701%22%5D" TargetMode="External"/><Relationship Id="rId11" Type="http://schemas.openxmlformats.org/officeDocument/2006/relationships/hyperlink" Target="https://linklogistics.wd5.myworkdayjobs.com/en-US/Link/userHome" TargetMode="External"/><Relationship Id="rId24" Type="http://schemas.openxmlformats.org/officeDocument/2006/relationships/hyperlink" Target="https://career5.successfactors.eu/portalcareer?_s.crb=q%252bbEpnX7ei281AehBMX7IDEVlSHqBuwDItwYYrJtyBM%253d" TargetMode="External"/><Relationship Id="rId32" Type="http://schemas.openxmlformats.org/officeDocument/2006/relationships/hyperlink" Target="https://blueowl.wd1.myworkdayjobs.com/en-US/blueowl/userHome" TargetMode="External"/><Relationship Id="rId5" Type="http://schemas.openxmlformats.org/officeDocument/2006/relationships/hyperlink" Target="https://job-boards.greenhouse.io/gainternships/jobs/7368558?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" TargetMode="External"/><Relationship Id="rId15" Type="http://schemas.openxmlformats.org/officeDocument/2006/relationships/hyperlink" Target="https://www.linkedin.com/in/jennifer-locke-703aa117/" TargetMode="External"/><Relationship Id="rId23" Type="http://schemas.openxmlformats.org/officeDocument/2006/relationships/hyperlink" Target="https://santander.wd3.myworkdayjobs.com/en-US/SantanderCareers/job/Corporate-Banking-Relationship-Manager---Analyst_Req1505822-1" TargetMode="External"/><Relationship Id="rId28" Type="http://schemas.openxmlformats.org/officeDocument/2006/relationships/hyperlink" Target="https://rbc.wd3.myworkdayjobs.com/RBCGLOBAL1" TargetMode="External"/><Relationship Id="rId10" Type="http://schemas.openxmlformats.org/officeDocument/2006/relationships/hyperlink" Target="https://vaneck.rec.pro.ukg.net/VAN1502VEAC/JobBoard/9158c56d-61c9-447f-98b1-4ba0b04ca31d/Candidate/ViewPresence" TargetMode="External"/><Relationship Id="rId19" Type="http://schemas.openxmlformats.org/officeDocument/2006/relationships/hyperlink" Target="https://career5.successfactors.eu/portalcareer?_s.crb=paWdUnG6e9g8MeBPjYh%252f4Ae84StywiJT3WBTuex0gm8%253d" TargetMode="External"/><Relationship Id="rId31" Type="http://schemas.openxmlformats.org/officeDocument/2006/relationships/hyperlink" Target="https://mufgub.wd3.myworkdayjobs.com/en-US/MUFG-Careers/job/Analyst---Growth---Middle-Market-Technology-Banking---Relationship-Management_10074328-WD" TargetMode="External"/><Relationship Id="rId4" Type="http://schemas.openxmlformats.org/officeDocument/2006/relationships/hyperlink" Target="https://gemini.google.com/app/7f1e820eebf54a09" TargetMode="External"/><Relationship Id="rId9" Type="http://schemas.openxmlformats.org/officeDocument/2006/relationships/hyperlink" Target="https://app.joinhandshake.com/job-search/10536806?per_page=25&amp;sort=relevance&amp;locationFilter=%7B%22label%22%3A%22New+York+City%2C+NY%22%2C%22point%22%3A%2240.7306%2C-73.9866%22%2C%22type%22%3A%22place%22%2C%22id%22%3A%22104200117%22%2C%22distance%22%3A%2250mi%22%7D&amp;locationFilter=%7B%22label%22%3A%22Tampa%2C+FL%22%2C%22point%22%3A%2227.94776%2C-82.458444%22%2C%22type%22%3A%22place%22%2C%22id%22%3A%22104200119%22%2C%22distance%22%3A%2250mi%22%7D&amp;locationFilter=%7B%22id%22%3A%22place.210733292%22%2C%22label%22%3A%22Miami%2C+Florida%2C+United+States%22%2C%22type%22%3A%22place%22%2C%22point%22%3A%2225.773357%2C-80.1919%22%2C%22text%22%3A%22Miami%22%2C%22distance%22%3A%2250mi%22%7D&amp;page=1" TargetMode="External"/><Relationship Id="rId14" Type="http://schemas.openxmlformats.org/officeDocument/2006/relationships/hyperlink" Target="https://ardian.wd103.myworkdayjobs.com/en-US/ArdianCareers/job/Secondaries---Primaries-Analyst_JR1001394" TargetMode="External"/><Relationship Id="rId22" Type="http://schemas.openxmlformats.org/officeDocument/2006/relationships/hyperlink" Target="https://career17.sapsf.com/portalcareer?_s.crb=Qdgx0%252fEbmZwB587ZPUZBoFS84JxsQXGex106kP1zs7A%253d" TargetMode="External"/><Relationship Id="rId27" Type="http://schemas.openxmlformats.org/officeDocument/2006/relationships/hyperlink" Target="https://career8.successfactors.com/portalcareer?_s.crb=WEI3UKHe1iVIcgpE4JxFrUQ9BzDSXRMbe2aNZINz7w0%253d" TargetMode="External"/><Relationship Id="rId30" Type="http://schemas.openxmlformats.org/officeDocument/2006/relationships/hyperlink" Target="https://ms.wd5.myworkdayjobs.com/en-US/External/userHome" TargetMode="External"/><Relationship Id="rId35" Type="http://schemas.openxmlformats.org/officeDocument/2006/relationships/hyperlink" Target="https://rbc.wd3.myworkdayjobs.com/en-US/RBCEARLYTALENT1/userHome" TargetMode="External"/><Relationship Id="rId8" Type="http://schemas.openxmlformats.org/officeDocument/2006/relationships/hyperlink" Target="https://app.joinhandshake.com/job-search/10542405?per_page=25&amp;sort=relevance&amp;locationFilter=%7B%22label%22%3A%22New+York+City%2C+NY%22%2C%22point%22%3A%2240.7306%2C-73.9866%22%2C%22type%22%3A%22place%22%2C%22id%22%3A%22104200117%22%2C%22distance%22%3A%2250mi%22%7D&amp;locationFilter=%7B%22label%22%3A%22Tampa%2C+FL%22%2C%22point%22%3A%2227.94776%2C-82.458444%22%2C%22type%22%3A%22place%22%2C%22id%22%3A%22104200119%22%2C%22distance%22%3A%2250mi%22%7D&amp;locationFilter=%7B%22id%22%3A%22place.210733292%22%2C%22label%22%3A%22Miami%2C+Florida%2C+United+States%22%2C%22type%22%3A%22place%22%2C%22point%22%3A%2225.773357%2C-80.1919%22%2C%22text%22%3A%22Miami%22%2C%22distance%22%3A%2250mi%22%7D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AA95-E246-BF4F-AD08-DE3EC1301171}">
  <dimension ref="A1:J43"/>
  <sheetViews>
    <sheetView tabSelected="1" zoomScale="68" zoomScaleNormal="130" workbookViewId="0">
      <selection activeCell="D29" sqref="D29"/>
    </sheetView>
  </sheetViews>
  <sheetFormatPr baseColWidth="10" defaultRowHeight="16" x14ac:dyDescent="0.2"/>
  <cols>
    <col min="1" max="1" width="34.6640625" customWidth="1"/>
    <col min="2" max="2" width="41.33203125" bestFit="1" customWidth="1"/>
    <col min="3" max="3" width="9" style="1" bestFit="1" customWidth="1"/>
    <col min="4" max="4" width="30.6640625" bestFit="1" customWidth="1"/>
    <col min="5" max="5" width="30.33203125" customWidth="1"/>
  </cols>
  <sheetData>
    <row r="1" spans="1:10" ht="34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10</v>
      </c>
      <c r="F1" s="3" t="s">
        <v>4</v>
      </c>
      <c r="G1" s="3" t="s">
        <v>5</v>
      </c>
      <c r="I1" s="2" t="s">
        <v>17</v>
      </c>
    </row>
    <row r="2" spans="1:10" ht="17" x14ac:dyDescent="0.2">
      <c r="A2" s="5" t="s">
        <v>6</v>
      </c>
      <c r="B2" s="5" t="s">
        <v>8</v>
      </c>
      <c r="C2" s="6">
        <v>45954</v>
      </c>
      <c r="D2" s="5" t="s">
        <v>9</v>
      </c>
      <c r="E2" s="5" t="s">
        <v>14</v>
      </c>
      <c r="F2" s="7" t="s">
        <v>7</v>
      </c>
      <c r="G2" s="5"/>
    </row>
    <row r="3" spans="1:10" ht="34" x14ac:dyDescent="0.2">
      <c r="A3" s="5" t="s">
        <v>11</v>
      </c>
      <c r="B3" s="5" t="s">
        <v>12</v>
      </c>
      <c r="C3" s="6">
        <v>45953</v>
      </c>
      <c r="D3" s="5" t="s">
        <v>13</v>
      </c>
      <c r="E3" s="5" t="s">
        <v>14</v>
      </c>
      <c r="F3" s="7" t="s">
        <v>4</v>
      </c>
      <c r="G3" s="5"/>
    </row>
    <row r="4" spans="1:10" ht="17" x14ac:dyDescent="0.2">
      <c r="A4" s="5" t="s">
        <v>15</v>
      </c>
      <c r="B4" s="5" t="s">
        <v>16</v>
      </c>
      <c r="E4" t="s">
        <v>14</v>
      </c>
      <c r="F4" s="2" t="s">
        <v>7</v>
      </c>
    </row>
    <row r="5" spans="1:10" ht="17" x14ac:dyDescent="0.2">
      <c r="A5" s="5" t="s">
        <v>18</v>
      </c>
      <c r="B5" t="s">
        <v>19</v>
      </c>
      <c r="C5" s="1">
        <v>45971</v>
      </c>
      <c r="D5" s="2" t="s">
        <v>20</v>
      </c>
      <c r="E5" t="s">
        <v>14</v>
      </c>
      <c r="F5" s="2" t="s">
        <v>7</v>
      </c>
      <c r="G5" t="s">
        <v>53</v>
      </c>
    </row>
    <row r="8" spans="1:10" ht="51" customHeight="1" x14ac:dyDescent="0.2">
      <c r="A8" s="19" t="s">
        <v>23</v>
      </c>
      <c r="B8" s="19"/>
      <c r="C8" s="19"/>
      <c r="D8" s="19"/>
      <c r="E8" s="19"/>
      <c r="F8" s="19"/>
      <c r="G8" s="19"/>
      <c r="H8" s="19"/>
    </row>
    <row r="9" spans="1:10" ht="17" x14ac:dyDescent="0.2">
      <c r="A9" s="12"/>
      <c r="B9" s="12"/>
      <c r="C9" s="12"/>
      <c r="D9" s="12"/>
      <c r="E9" s="12"/>
      <c r="F9" s="12"/>
      <c r="G9" s="12"/>
      <c r="H9" s="13" t="s">
        <v>74</v>
      </c>
      <c r="I9" s="8" t="s">
        <v>75</v>
      </c>
      <c r="J9" s="8" t="s">
        <v>76</v>
      </c>
    </row>
    <row r="10" spans="1:10" x14ac:dyDescent="0.2">
      <c r="A10" s="8" t="s">
        <v>41</v>
      </c>
      <c r="B10" s="8" t="s">
        <v>42</v>
      </c>
      <c r="C10" s="9" t="s">
        <v>32</v>
      </c>
      <c r="D10" s="8" t="s">
        <v>43</v>
      </c>
      <c r="E10" s="8" t="s">
        <v>28</v>
      </c>
      <c r="F10" s="8" t="s">
        <v>44</v>
      </c>
      <c r="G10" s="8" t="s">
        <v>45</v>
      </c>
      <c r="H10">
        <f>COUNTIFS(E11:E100,"&lt;&gt;NO",E11:E100,"&lt;&gt;")</f>
        <v>30</v>
      </c>
      <c r="I10">
        <f ca="1">TODAY()-DATE(2025,12,4)</f>
        <v>55</v>
      </c>
      <c r="J10" s="14">
        <f ca="1">H10/I10</f>
        <v>0.54545454545454541</v>
      </c>
    </row>
    <row r="11" spans="1:10" x14ac:dyDescent="0.2">
      <c r="A11" t="s">
        <v>24</v>
      </c>
      <c r="B11" t="s">
        <v>26</v>
      </c>
      <c r="C11" s="1">
        <v>46005</v>
      </c>
      <c r="E11" t="s">
        <v>27</v>
      </c>
      <c r="F11" s="2" t="s">
        <v>7</v>
      </c>
    </row>
    <row r="12" spans="1:10" x14ac:dyDescent="0.2">
      <c r="A12" t="s">
        <v>25</v>
      </c>
      <c r="B12" t="s">
        <v>30</v>
      </c>
      <c r="E12" s="10" t="s">
        <v>27</v>
      </c>
      <c r="F12" s="2" t="s">
        <v>7</v>
      </c>
    </row>
    <row r="13" spans="1:10" x14ac:dyDescent="0.2">
      <c r="A13" t="s">
        <v>29</v>
      </c>
      <c r="B13" t="s">
        <v>31</v>
      </c>
      <c r="E13" s="11">
        <v>45997</v>
      </c>
      <c r="F13" s="2" t="s">
        <v>4</v>
      </c>
    </row>
    <row r="14" spans="1:10" x14ac:dyDescent="0.2">
      <c r="A14" t="s">
        <v>33</v>
      </c>
      <c r="B14" t="s">
        <v>34</v>
      </c>
      <c r="C14" s="1">
        <v>45997</v>
      </c>
      <c r="E14" s="11">
        <v>45997</v>
      </c>
      <c r="F14" s="2" t="s">
        <v>4</v>
      </c>
    </row>
    <row r="15" spans="1:10" x14ac:dyDescent="0.2">
      <c r="A15" t="s">
        <v>35</v>
      </c>
      <c r="B15" t="s">
        <v>36</v>
      </c>
      <c r="C15" s="1">
        <v>46087</v>
      </c>
      <c r="E15" t="s">
        <v>27</v>
      </c>
      <c r="F15" s="2" t="s">
        <v>7</v>
      </c>
    </row>
    <row r="16" spans="1:10" x14ac:dyDescent="0.2">
      <c r="A16" t="s">
        <v>38</v>
      </c>
      <c r="B16" t="s">
        <v>37</v>
      </c>
      <c r="C16" s="1">
        <v>46003</v>
      </c>
      <c r="E16" s="11">
        <v>45999</v>
      </c>
      <c r="F16" s="2" t="s">
        <v>48</v>
      </c>
      <c r="G16" t="s">
        <v>52</v>
      </c>
    </row>
    <row r="17" spans="1:7" x14ac:dyDescent="0.2">
      <c r="A17" t="s">
        <v>39</v>
      </c>
      <c r="B17" t="s">
        <v>40</v>
      </c>
      <c r="C17" s="1">
        <v>45998</v>
      </c>
      <c r="E17" s="11">
        <v>45997</v>
      </c>
      <c r="F17" s="2" t="s">
        <v>4</v>
      </c>
    </row>
    <row r="18" spans="1:7" x14ac:dyDescent="0.2">
      <c r="A18" t="s">
        <v>46</v>
      </c>
      <c r="B18" t="s">
        <v>47</v>
      </c>
      <c r="E18" s="11">
        <v>45998</v>
      </c>
      <c r="F18" t="s">
        <v>48</v>
      </c>
    </row>
    <row r="19" spans="1:7" ht="17" x14ac:dyDescent="0.2">
      <c r="A19" s="5" t="s">
        <v>81</v>
      </c>
      <c r="B19" t="s">
        <v>49</v>
      </c>
      <c r="C19" s="1">
        <v>46060</v>
      </c>
      <c r="D19" t="s">
        <v>50</v>
      </c>
      <c r="E19" s="11">
        <v>45998</v>
      </c>
      <c r="F19" s="2" t="s">
        <v>4</v>
      </c>
      <c r="G19" s="2" t="s">
        <v>51</v>
      </c>
    </row>
    <row r="20" spans="1:7" x14ac:dyDescent="0.2">
      <c r="A20" s="15" t="s">
        <v>54</v>
      </c>
      <c r="B20" s="15" t="s">
        <v>55</v>
      </c>
      <c r="C20" s="16"/>
      <c r="D20" s="15" t="s">
        <v>56</v>
      </c>
      <c r="E20" s="16">
        <v>46009</v>
      </c>
      <c r="F20" s="17" t="s">
        <v>4</v>
      </c>
      <c r="G20" s="15" t="s">
        <v>57</v>
      </c>
    </row>
    <row r="21" spans="1:7" x14ac:dyDescent="0.2">
      <c r="A21" t="s">
        <v>58</v>
      </c>
      <c r="B21" t="s">
        <v>59</v>
      </c>
      <c r="D21" t="s">
        <v>63</v>
      </c>
      <c r="E21" s="1">
        <v>46009</v>
      </c>
      <c r="F21" s="2" t="s">
        <v>4</v>
      </c>
    </row>
    <row r="22" spans="1:7" x14ac:dyDescent="0.2">
      <c r="A22" t="s">
        <v>60</v>
      </c>
      <c r="B22" t="s">
        <v>61</v>
      </c>
      <c r="D22" t="s">
        <v>62</v>
      </c>
      <c r="E22" s="1">
        <v>46011</v>
      </c>
      <c r="F22" s="2" t="s">
        <v>4</v>
      </c>
    </row>
    <row r="23" spans="1:7" x14ac:dyDescent="0.2">
      <c r="A23" t="s">
        <v>64</v>
      </c>
      <c r="B23" t="s">
        <v>65</v>
      </c>
      <c r="D23" t="s">
        <v>62</v>
      </c>
      <c r="E23" s="1">
        <v>46011</v>
      </c>
      <c r="F23" s="2" t="s">
        <v>4</v>
      </c>
    </row>
    <row r="24" spans="1:7" x14ac:dyDescent="0.2">
      <c r="A24" t="s">
        <v>66</v>
      </c>
      <c r="B24" t="s">
        <v>67</v>
      </c>
      <c r="D24" t="s">
        <v>68</v>
      </c>
      <c r="E24" s="1">
        <v>46011</v>
      </c>
      <c r="F24" s="2" t="s">
        <v>4</v>
      </c>
    </row>
    <row r="25" spans="1:7" x14ac:dyDescent="0.2">
      <c r="A25" t="s">
        <v>69</v>
      </c>
      <c r="B25" t="s">
        <v>70</v>
      </c>
      <c r="D25" t="s">
        <v>62</v>
      </c>
      <c r="E25" s="1">
        <v>46011</v>
      </c>
      <c r="F25" s="2" t="s">
        <v>4</v>
      </c>
    </row>
    <row r="26" spans="1:7" x14ac:dyDescent="0.2">
      <c r="A26" t="s">
        <v>71</v>
      </c>
      <c r="B26" t="s">
        <v>72</v>
      </c>
      <c r="D26" t="s">
        <v>62</v>
      </c>
      <c r="E26" s="1">
        <v>46011</v>
      </c>
      <c r="F26" t="s">
        <v>73</v>
      </c>
    </row>
    <row r="27" spans="1:7" x14ac:dyDescent="0.2">
      <c r="A27" t="s">
        <v>77</v>
      </c>
      <c r="B27" t="s">
        <v>78</v>
      </c>
      <c r="D27" t="s">
        <v>62</v>
      </c>
      <c r="E27" s="1">
        <v>46013</v>
      </c>
      <c r="F27" s="2" t="s">
        <v>4</v>
      </c>
    </row>
    <row r="28" spans="1:7" x14ac:dyDescent="0.2">
      <c r="A28" t="s">
        <v>60</v>
      </c>
      <c r="B28" t="s">
        <v>79</v>
      </c>
      <c r="D28" t="s">
        <v>62</v>
      </c>
      <c r="E28" s="1">
        <v>46021</v>
      </c>
      <c r="F28" s="2" t="s">
        <v>80</v>
      </c>
    </row>
    <row r="29" spans="1:7" x14ac:dyDescent="0.2">
      <c r="A29" t="s">
        <v>82</v>
      </c>
      <c r="B29" t="s">
        <v>83</v>
      </c>
      <c r="D29" t="s">
        <v>62</v>
      </c>
      <c r="E29" s="1">
        <v>45666</v>
      </c>
      <c r="F29" s="2" t="s">
        <v>4</v>
      </c>
    </row>
    <row r="30" spans="1:7" x14ac:dyDescent="0.2">
      <c r="A30" t="s">
        <v>84</v>
      </c>
      <c r="B30" t="s">
        <v>85</v>
      </c>
      <c r="D30" t="s">
        <v>62</v>
      </c>
      <c r="E30" s="1">
        <v>45666</v>
      </c>
      <c r="F30" s="2" t="s">
        <v>4</v>
      </c>
    </row>
    <row r="31" spans="1:7" ht="17" x14ac:dyDescent="0.2">
      <c r="A31" s="18" t="s">
        <v>21</v>
      </c>
      <c r="B31" s="18" t="s">
        <v>22</v>
      </c>
      <c r="C31" s="16"/>
      <c r="D31" s="15"/>
      <c r="E31" s="16">
        <v>45667</v>
      </c>
      <c r="F31" s="17" t="s">
        <v>4</v>
      </c>
      <c r="G31" s="15"/>
    </row>
    <row r="32" spans="1:7" x14ac:dyDescent="0.2">
      <c r="A32" t="s">
        <v>86</v>
      </c>
      <c r="B32" t="s">
        <v>87</v>
      </c>
      <c r="D32" t="s">
        <v>62</v>
      </c>
      <c r="E32" s="1">
        <v>45667</v>
      </c>
      <c r="F32" s="2" t="s">
        <v>4</v>
      </c>
    </row>
    <row r="33" spans="1:6" x14ac:dyDescent="0.2">
      <c r="A33" t="s">
        <v>88</v>
      </c>
      <c r="B33" t="s">
        <v>90</v>
      </c>
      <c r="D33" t="s">
        <v>62</v>
      </c>
      <c r="E33" s="1">
        <v>45667</v>
      </c>
      <c r="F33" s="2" t="s">
        <v>89</v>
      </c>
    </row>
    <row r="34" spans="1:6" x14ac:dyDescent="0.2">
      <c r="A34" t="s">
        <v>92</v>
      </c>
      <c r="B34" t="s">
        <v>91</v>
      </c>
      <c r="D34" t="s">
        <v>68</v>
      </c>
      <c r="E34" s="1">
        <v>45669</v>
      </c>
      <c r="F34" s="2" t="s">
        <v>4</v>
      </c>
    </row>
    <row r="35" spans="1:6" x14ac:dyDescent="0.2">
      <c r="A35" t="s">
        <v>93</v>
      </c>
      <c r="B35" t="s">
        <v>94</v>
      </c>
      <c r="D35" t="s">
        <v>62</v>
      </c>
      <c r="E35" s="1">
        <v>45669</v>
      </c>
      <c r="F35" s="2" t="s">
        <v>4</v>
      </c>
    </row>
    <row r="36" spans="1:6" x14ac:dyDescent="0.2">
      <c r="A36" t="s">
        <v>95</v>
      </c>
      <c r="B36" t="s">
        <v>96</v>
      </c>
      <c r="D36" t="s">
        <v>62</v>
      </c>
      <c r="E36" s="1">
        <v>45669</v>
      </c>
      <c r="F36" t="s">
        <v>97</v>
      </c>
    </row>
    <row r="37" spans="1:6" x14ac:dyDescent="0.2">
      <c r="A37" t="s">
        <v>98</v>
      </c>
      <c r="B37" t="s">
        <v>99</v>
      </c>
      <c r="D37" t="s">
        <v>62</v>
      </c>
      <c r="E37" s="1">
        <v>45669</v>
      </c>
      <c r="F37" t="s">
        <v>97</v>
      </c>
    </row>
    <row r="38" spans="1:6" x14ac:dyDescent="0.2">
      <c r="A38" t="s">
        <v>84</v>
      </c>
      <c r="B38" t="s">
        <v>100</v>
      </c>
      <c r="D38" t="s">
        <v>62</v>
      </c>
      <c r="E38" s="1">
        <v>45676</v>
      </c>
    </row>
    <row r="39" spans="1:6" ht="34" x14ac:dyDescent="0.2">
      <c r="A39" t="s">
        <v>101</v>
      </c>
      <c r="B39" s="5" t="s">
        <v>102</v>
      </c>
      <c r="D39" t="s">
        <v>62</v>
      </c>
      <c r="E39" s="1">
        <v>45676</v>
      </c>
      <c r="F39" s="2" t="s">
        <v>89</v>
      </c>
    </row>
    <row r="40" spans="1:6" x14ac:dyDescent="0.2">
      <c r="A40" t="s">
        <v>103</v>
      </c>
      <c r="B40" t="s">
        <v>104</v>
      </c>
      <c r="D40" t="s">
        <v>62</v>
      </c>
      <c r="E40" s="1">
        <v>45683</v>
      </c>
      <c r="F40" s="2" t="s">
        <v>4</v>
      </c>
    </row>
    <row r="41" spans="1:6" x14ac:dyDescent="0.2">
      <c r="A41" t="s">
        <v>54</v>
      </c>
      <c r="B41" t="s">
        <v>105</v>
      </c>
      <c r="D41" t="s">
        <v>62</v>
      </c>
      <c r="E41" s="1">
        <v>46780</v>
      </c>
      <c r="F41" s="2" t="s">
        <v>4</v>
      </c>
    </row>
    <row r="42" spans="1:6" x14ac:dyDescent="0.2">
      <c r="A42" t="s">
        <v>88</v>
      </c>
      <c r="B42" t="s">
        <v>106</v>
      </c>
      <c r="D42" t="s">
        <v>62</v>
      </c>
      <c r="E42" s="1">
        <v>46050</v>
      </c>
      <c r="F42" s="2" t="s">
        <v>4</v>
      </c>
    </row>
    <row r="43" spans="1:6" x14ac:dyDescent="0.2">
      <c r="A43" t="s">
        <v>107</v>
      </c>
      <c r="B43" t="s">
        <v>108</v>
      </c>
      <c r="D43" t="s">
        <v>62</v>
      </c>
      <c r="E43" s="1">
        <v>46050</v>
      </c>
      <c r="F43" s="2" t="s">
        <v>4</v>
      </c>
    </row>
  </sheetData>
  <autoFilter ref="A10:F27" xr:uid="{0F6CAA95-E246-BF4F-AD08-DE3EC1301171}"/>
  <mergeCells count="1">
    <mergeCell ref="A8:H8"/>
  </mergeCells>
  <hyperlinks>
    <hyperlink ref="F2" r:id="rId1" xr:uid="{BF639C15-94A3-1C41-AB57-2B2687F79667}"/>
    <hyperlink ref="F3" r:id="rId2" xr:uid="{2DB49BE4-5E94-4E4A-A91D-4CABE61A2A92}"/>
    <hyperlink ref="F4" r:id="rId3" xr:uid="{F94C55DC-F740-2545-869A-3FAD0898D369}"/>
    <hyperlink ref="I1" r:id="rId4" xr:uid="{8ADCFCC3-4882-AC43-9AA1-EF184552AD63}"/>
    <hyperlink ref="F5" r:id="rId5" xr:uid="{4ED07F91-A0D5-2541-B5D2-35AF3534CADD}"/>
    <hyperlink ref="D5" r:id="rId6" xr:uid="{BEEEB52F-6337-ED4D-B363-94A28B255549}"/>
    <hyperlink ref="F31" r:id="rId7" xr:uid="{9D3D2069-96B3-BC46-A5F8-136302241895}"/>
    <hyperlink ref="F11" r:id="rId8" xr:uid="{A8436178-53FD-D74F-856C-3DA955DE2131}"/>
    <hyperlink ref="F12" r:id="rId9" xr:uid="{BBB9E448-4B63-B743-8C84-E060FA7CA58C}"/>
    <hyperlink ref="F13" r:id="rId10" xr:uid="{032AF69E-D521-1942-BB40-02D3081C407C}"/>
    <hyperlink ref="F14" r:id="rId11" xr:uid="{F412BFB4-3F8D-6A44-B056-C77F700E4E81}"/>
    <hyperlink ref="F15" r:id="rId12" xr:uid="{B2AF4506-5A21-2446-8707-7030D1BD8EDE}"/>
    <hyperlink ref="F16" r:id="rId13" display="LTA" xr:uid="{C543F1A8-C7A3-6D48-B12C-3E76D4062B56}"/>
    <hyperlink ref="F17" r:id="rId14" xr:uid="{76188EA6-D965-9741-A9FE-AB1A4875FD0D}"/>
    <hyperlink ref="G19" r:id="rId15" xr:uid="{A0A748EA-D05E-0541-8E2E-D3AC0E88BD37}"/>
    <hyperlink ref="F19" r:id="rId16" xr:uid="{227C2C8C-9BDB-0141-9DA2-3734E90DA39F}"/>
    <hyperlink ref="F20" r:id="rId17" xr:uid="{5F624775-D304-CD4F-ABAE-318B8538B16B}"/>
    <hyperlink ref="F21" r:id="rId18" xr:uid="{2B547787-63B4-4F49-AECF-B4282A60107D}"/>
    <hyperlink ref="F22" r:id="rId19" xr:uid="{B03FF617-1C56-1745-9DA0-A8F820A7996F}"/>
    <hyperlink ref="F23" r:id="rId20" xr:uid="{399C6A46-ED12-484D-8BE1-1DE7D54D5BF9}"/>
    <hyperlink ref="F24" r:id="rId21" xr:uid="{7C1B3A12-9643-ED4B-8A99-1A457C2B4DDB}"/>
    <hyperlink ref="F25" r:id="rId22" xr:uid="{F46F1A75-035F-FC43-A2AA-48FB15356854}"/>
    <hyperlink ref="F27" r:id="rId23" xr:uid="{0410F7BE-195F-0A41-9523-161A7592D316}"/>
    <hyperlink ref="F28" r:id="rId24" xr:uid="{B0296776-E796-B142-A083-E35BEA6D80DE}"/>
    <hyperlink ref="F29" r:id="rId25" xr:uid="{7E0F89D8-4F2A-794B-98DC-A977F3A4152A}"/>
    <hyperlink ref="F30" r:id="rId26" xr:uid="{423A8FDD-1A00-7649-B6C8-CE6A4C0F3F00}"/>
    <hyperlink ref="F32" r:id="rId27" xr:uid="{88A7C665-734F-B048-AC26-39A13FF1EFEF}"/>
    <hyperlink ref="F33" r:id="rId28" xr:uid="{A87B003D-C23C-274C-B2EC-933946679805}"/>
    <hyperlink ref="F34" r:id="rId29" xr:uid="{D226BDD7-2748-C748-B7F4-1B46D8F8B044}"/>
    <hyperlink ref="F35" r:id="rId30" xr:uid="{C4E7C902-AEF9-6B4B-8B13-F5C7D75F22A4}"/>
    <hyperlink ref="F39" r:id="rId31" xr:uid="{41A93949-AF30-6B4A-8AE4-FAE43991C3C6}"/>
    <hyperlink ref="F40" r:id="rId32" xr:uid="{5EEEB213-AD74-D74F-B11D-72361B4F6A59}"/>
    <hyperlink ref="F41" r:id="rId33" xr:uid="{7FDEEF1C-0FBC-2E4A-AFE4-BB99FD448661}"/>
    <hyperlink ref="F43" r:id="rId34" xr:uid="{B7C64D93-DBBF-8848-B147-AFA157FD10AB}"/>
    <hyperlink ref="F42" r:id="rId35" xr:uid="{B3D55929-C501-3246-8E75-D0FE1A407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Goldberg, Leo</dc:creator>
  <cp:lastModifiedBy>Leo Goldberg</cp:lastModifiedBy>
  <dcterms:created xsi:type="dcterms:W3CDTF">2025-10-22T17:06:43Z</dcterms:created>
  <dcterms:modified xsi:type="dcterms:W3CDTF">2026-01-28T19:18:15Z</dcterms:modified>
</cp:coreProperties>
</file>